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Gupta-Casale\Desktop\Webinar\Final Spreadsheets\Final Spreadsheets II\"/>
    </mc:Choice>
  </mc:AlternateContent>
  <xr:revisionPtr revIDLastSave="0" documentId="13_ncr:1_{30DC685C-71C1-4EB8-98EB-15643850297B}" xr6:coauthVersionLast="36" xr6:coauthVersionMax="36" xr10:uidLastSave="{00000000-0000-0000-0000-000000000000}"/>
  <bookViews>
    <workbookView xWindow="0" yWindow="0" windowWidth="20430" windowHeight="6645" firstSheet="6" activeTab="7" xr2:uid="{ABBA9D57-B8AA-4A8B-A836-1510A01C73CA}"/>
  </bookViews>
  <sheets>
    <sheet name="MemberOrg_Data" sheetId="3" state="hidden" r:id="rId1"/>
    <sheet name="FedGrant_Data" sheetId="9" state="hidden" r:id="rId2"/>
    <sheet name="Budget Appropriations_Data" sheetId="4" state="hidden" r:id="rId3"/>
    <sheet name="Control" sheetId="2" state="hidden" r:id="rId4"/>
    <sheet name="Helper Table" sheetId="1" state="hidden" r:id="rId5"/>
    <sheet name="Helper Table Pivot Table" sheetId="7" state="hidden" r:id="rId6"/>
    <sheet name="FPWA Member Grants" sheetId="5" r:id="rId7"/>
    <sheet name="Individual Grants" sheetId="8" r:id="rId8"/>
  </sheets>
  <definedNames>
    <definedName name="cut">INDEX(Table10[President $ Change],MATCH('Helper Table'!$R$5,Table10[Grant name],0)):INDEX(Table10[President $ Change],MATCH('Helper Table'!$R$6,Table10[Grant name],0))</definedName>
    <definedName name="FedGrant">Control!$A$9:$A$74</definedName>
    <definedName name="FPWA_NumRow">Control!$M$3</definedName>
    <definedName name="FPWA_TopRow">Control!$M$2</definedName>
    <definedName name="grantname">INDEX(Table10[Grant name],MATCH('Helper Table'!$R$5,Table10[Grant name], 0)):INDEX(Table10[Grant name],MATCH('Helper Table'!$R$6,Table10[Grant name],0))</definedName>
    <definedName name="HouseAmtChange">Table9[House $ Change]</definedName>
    <definedName name="HousePctChange">Table9[House Budget]</definedName>
    <definedName name="MemberOrgs">Control!$J$9:$J$51</definedName>
    <definedName name="NumRow">Control!$B$3</definedName>
    <definedName name="PresAmtChange">Table9[President $ Change]</definedName>
    <definedName name="PresidentPctChange">Table9[President Budget]</definedName>
    <definedName name="SelectFedGrant">Control!$E$2</definedName>
    <definedName name="SelectMemberOrg">Control!$P$2</definedName>
    <definedName name="TopRow">Control!$B$2</definedName>
  </definedNames>
  <calcPr calcId="191029" concurrentCalc="0"/>
  <pivotCaches>
    <pivotCache cacheId="12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1" i="5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O9" i="2"/>
  <c r="B6" i="1"/>
  <c r="D6" i="1"/>
  <c r="E6" i="1"/>
  <c r="F6" i="1"/>
  <c r="O10" i="2"/>
  <c r="B7" i="1"/>
  <c r="D7" i="1"/>
  <c r="G97" i="4"/>
  <c r="E7" i="1"/>
  <c r="F7" i="1"/>
  <c r="O11" i="2"/>
  <c r="B8" i="1"/>
  <c r="D8" i="1"/>
  <c r="G115" i="4"/>
  <c r="E8" i="1"/>
  <c r="F8" i="1"/>
  <c r="O12" i="2"/>
  <c r="B9" i="1"/>
  <c r="D9" i="1"/>
  <c r="E9" i="1"/>
  <c r="F9" i="1"/>
  <c r="O13" i="2"/>
  <c r="B10" i="1"/>
  <c r="D10" i="1"/>
  <c r="G124" i="4"/>
  <c r="E10" i="1"/>
  <c r="F10" i="1"/>
  <c r="O14" i="2"/>
  <c r="B11" i="1"/>
  <c r="D11" i="1"/>
  <c r="G161" i="4"/>
  <c r="E11" i="1"/>
  <c r="F11" i="1"/>
  <c r="O15" i="2"/>
  <c r="B12" i="1"/>
  <c r="D12" i="1"/>
  <c r="G166" i="4"/>
  <c r="E12" i="1"/>
  <c r="F12" i="1"/>
  <c r="O16" i="2"/>
  <c r="B13" i="1"/>
  <c r="D13" i="1"/>
  <c r="G175" i="4"/>
  <c r="E13" i="1"/>
  <c r="F13" i="1"/>
  <c r="O17" i="2"/>
  <c r="B14" i="1"/>
  <c r="D14" i="1"/>
  <c r="E14" i="1"/>
  <c r="F14" i="1"/>
  <c r="O18" i="2"/>
  <c r="B15" i="1"/>
  <c r="D15" i="1"/>
  <c r="E15" i="1"/>
  <c r="F15" i="1"/>
  <c r="O19" i="2"/>
  <c r="B16" i="1"/>
  <c r="D16" i="1"/>
  <c r="E16" i="1"/>
  <c r="F16" i="1"/>
  <c r="O20" i="2"/>
  <c r="B17" i="1"/>
  <c r="D17" i="1"/>
  <c r="E17" i="1"/>
  <c r="F17" i="1"/>
  <c r="O21" i="2"/>
  <c r="B18" i="1"/>
  <c r="D18" i="1"/>
  <c r="E18" i="1"/>
  <c r="F18" i="1"/>
  <c r="O22" i="2"/>
  <c r="B19" i="1"/>
  <c r="D19" i="1"/>
  <c r="E19" i="1"/>
  <c r="F19" i="1"/>
  <c r="O23" i="2"/>
  <c r="B20" i="1"/>
  <c r="D20" i="1"/>
  <c r="E20" i="1"/>
  <c r="F20" i="1"/>
  <c r="O24" i="2"/>
  <c r="B21" i="1"/>
  <c r="D21" i="1"/>
  <c r="E21" i="1"/>
  <c r="F21" i="1"/>
  <c r="O25" i="2"/>
  <c r="B22" i="1"/>
  <c r="D22" i="1"/>
  <c r="E22" i="1"/>
  <c r="F22" i="1"/>
  <c r="O26" i="2"/>
  <c r="B23" i="1"/>
  <c r="D23" i="1"/>
  <c r="E23" i="1"/>
  <c r="F23" i="1"/>
  <c r="O27" i="2"/>
  <c r="B24" i="1"/>
  <c r="F24" i="1"/>
  <c r="O28" i="2"/>
  <c r="B25" i="1"/>
  <c r="F25" i="1"/>
  <c r="O29" i="2"/>
  <c r="B26" i="1"/>
  <c r="F26" i="1"/>
  <c r="O30" i="2"/>
  <c r="B27" i="1"/>
  <c r="F27" i="1"/>
  <c r="O31" i="2"/>
  <c r="B28" i="1"/>
  <c r="F28" i="1"/>
  <c r="O32" i="2"/>
  <c r="B29" i="1"/>
  <c r="F29" i="1"/>
  <c r="O33" i="2"/>
  <c r="B30" i="1"/>
  <c r="F30" i="1"/>
  <c r="O34" i="2"/>
  <c r="B31" i="1"/>
  <c r="F31" i="1"/>
  <c r="O35" i="2"/>
  <c r="B32" i="1"/>
  <c r="F32" i="1"/>
  <c r="O36" i="2"/>
  <c r="B33" i="1"/>
  <c r="F33" i="1"/>
  <c r="O37" i="2"/>
  <c r="B34" i="1"/>
  <c r="F34" i="1"/>
  <c r="O38" i="2"/>
  <c r="B35" i="1"/>
  <c r="F35" i="1"/>
  <c r="O39" i="2"/>
  <c r="B36" i="1"/>
  <c r="F36" i="1"/>
  <c r="O40" i="2"/>
  <c r="B37" i="1"/>
  <c r="F37" i="1"/>
  <c r="O41" i="2"/>
  <c r="B38" i="1"/>
  <c r="F38" i="1"/>
  <c r="O42" i="2"/>
  <c r="B39" i="1"/>
  <c r="F39" i="1"/>
  <c r="O43" i="2"/>
  <c r="B40" i="1"/>
  <c r="F40" i="1"/>
  <c r="O44" i="2"/>
  <c r="B41" i="1"/>
  <c r="F41" i="1"/>
  <c r="O45" i="2"/>
  <c r="B42" i="1"/>
  <c r="F42" i="1"/>
  <c r="O46" i="2"/>
  <c r="B43" i="1"/>
  <c r="F43" i="1"/>
  <c r="O47" i="2"/>
  <c r="B44" i="1"/>
  <c r="F44" i="1"/>
  <c r="O48" i="2"/>
  <c r="B45" i="1"/>
  <c r="F45" i="1"/>
  <c r="O49" i="2"/>
  <c r="B46" i="1"/>
  <c r="F46" i="1"/>
  <c r="O50" i="2"/>
  <c r="B47" i="1"/>
  <c r="F47" i="1"/>
  <c r="O51" i="2"/>
  <c r="B48" i="1"/>
  <c r="F48" i="1"/>
  <c r="O52" i="2"/>
  <c r="B49" i="1"/>
  <c r="F49" i="1"/>
  <c r="O53" i="2"/>
  <c r="B50" i="1"/>
  <c r="F50" i="1"/>
  <c r="O54" i="2"/>
  <c r="B51" i="1"/>
  <c r="F51" i="1"/>
  <c r="O55" i="2"/>
  <c r="B52" i="1"/>
  <c r="F52" i="1"/>
  <c r="O56" i="2"/>
  <c r="B53" i="1"/>
  <c r="F53" i="1"/>
  <c r="O57" i="2"/>
  <c r="B54" i="1"/>
  <c r="F54" i="1"/>
  <c r="O58" i="2"/>
  <c r="B55" i="1"/>
  <c r="F55" i="1"/>
  <c r="O59" i="2"/>
  <c r="B56" i="1"/>
  <c r="F56" i="1"/>
  <c r="O60" i="2"/>
  <c r="B57" i="1"/>
  <c r="F57" i="1"/>
  <c r="O61" i="2"/>
  <c r="B58" i="1"/>
  <c r="F58" i="1"/>
  <c r="O62" i="2"/>
  <c r="B59" i="1"/>
  <c r="F59" i="1"/>
  <c r="O63" i="2"/>
  <c r="B60" i="1"/>
  <c r="F60" i="1"/>
  <c r="O64" i="2"/>
  <c r="B61" i="1"/>
  <c r="F61" i="1"/>
  <c r="O65" i="2"/>
  <c r="B62" i="1"/>
  <c r="F62" i="1"/>
  <c r="O66" i="2"/>
  <c r="B63" i="1"/>
  <c r="F63" i="1"/>
  <c r="O67" i="2"/>
  <c r="B64" i="1"/>
  <c r="F64" i="1"/>
  <c r="O68" i="2"/>
  <c r="B65" i="1"/>
  <c r="F65" i="1"/>
  <c r="O69" i="2"/>
  <c r="B66" i="1"/>
  <c r="F66" i="1"/>
  <c r="O70" i="2"/>
  <c r="B67" i="1"/>
  <c r="F67" i="1"/>
  <c r="O71" i="2"/>
  <c r="B68" i="1"/>
  <c r="F68" i="1"/>
  <c r="O72" i="2"/>
  <c r="B69" i="1"/>
  <c r="F69" i="1"/>
  <c r="O73" i="2"/>
  <c r="B70" i="1"/>
  <c r="F70" i="1"/>
  <c r="O74" i="2"/>
  <c r="B71" i="1"/>
  <c r="F71" i="1"/>
  <c r="O75" i="2"/>
  <c r="B72" i="1"/>
  <c r="F72" i="1"/>
  <c r="O76" i="2"/>
  <c r="B73" i="1"/>
  <c r="F73" i="1"/>
  <c r="O77" i="2"/>
  <c r="B74" i="1"/>
  <c r="F74" i="1"/>
  <c r="O78" i="2"/>
  <c r="B75" i="1"/>
  <c r="F75" i="1"/>
  <c r="O79" i="2"/>
  <c r="B76" i="1"/>
  <c r="F76" i="1"/>
  <c r="O80" i="2"/>
  <c r="B77" i="1"/>
  <c r="F77" i="1"/>
  <c r="O81" i="2"/>
  <c r="B78" i="1"/>
  <c r="F78" i="1"/>
  <c r="O82" i="2"/>
  <c r="B79" i="1"/>
  <c r="F79" i="1"/>
  <c r="O83" i="2"/>
  <c r="B80" i="1"/>
  <c r="F80" i="1"/>
  <c r="O84" i="2"/>
  <c r="B81" i="1"/>
  <c r="F81" i="1"/>
  <c r="O85" i="2"/>
  <c r="B82" i="1"/>
  <c r="F82" i="1"/>
  <c r="O86" i="2"/>
  <c r="B83" i="1"/>
  <c r="F83" i="1"/>
  <c r="O87" i="2"/>
  <c r="B84" i="1"/>
  <c r="F84" i="1"/>
  <c r="O88" i="2"/>
  <c r="B85" i="1"/>
  <c r="F85" i="1"/>
  <c r="O89" i="2"/>
  <c r="B86" i="1"/>
  <c r="F86" i="1"/>
  <c r="O90" i="2"/>
  <c r="B87" i="1"/>
  <c r="F87" i="1"/>
  <c r="O91" i="2"/>
  <c r="B88" i="1"/>
  <c r="F88" i="1"/>
  <c r="O92" i="2"/>
  <c r="B89" i="1"/>
  <c r="F89" i="1"/>
  <c r="O93" i="2"/>
  <c r="B90" i="1"/>
  <c r="F90" i="1"/>
  <c r="O94" i="2"/>
  <c r="B91" i="1"/>
  <c r="F91" i="1"/>
  <c r="O95" i="2"/>
  <c r="B92" i="1"/>
  <c r="F92" i="1"/>
  <c r="O96" i="2"/>
  <c r="B93" i="1"/>
  <c r="F93" i="1"/>
  <c r="O97" i="2"/>
  <c r="B94" i="1"/>
  <c r="F94" i="1"/>
  <c r="O98" i="2"/>
  <c r="B95" i="1"/>
  <c r="F95" i="1"/>
  <c r="O99" i="2"/>
  <c r="B96" i="1"/>
  <c r="F96" i="1"/>
  <c r="O100" i="2"/>
  <c r="B97" i="1"/>
  <c r="F97" i="1"/>
  <c r="O101" i="2"/>
  <c r="B98" i="1"/>
  <c r="F98" i="1"/>
  <c r="O102" i="2"/>
  <c r="B99" i="1"/>
  <c r="F99" i="1"/>
  <c r="O103" i="2"/>
  <c r="B100" i="1"/>
  <c r="F100" i="1"/>
  <c r="O104" i="2"/>
  <c r="B101" i="1"/>
  <c r="F101" i="1"/>
  <c r="O105" i="2"/>
  <c r="B102" i="1"/>
  <c r="F102" i="1"/>
  <c r="O106" i="2"/>
  <c r="B103" i="1"/>
  <c r="F103" i="1"/>
  <c r="O107" i="2"/>
  <c r="B104" i="1"/>
  <c r="F104" i="1"/>
  <c r="O108" i="2"/>
  <c r="B105" i="1"/>
  <c r="F105" i="1"/>
  <c r="O109" i="2"/>
  <c r="B106" i="1"/>
  <c r="F106" i="1"/>
  <c r="O110" i="2"/>
  <c r="B107" i="1"/>
  <c r="F107" i="1"/>
  <c r="O111" i="2"/>
  <c r="B108" i="1"/>
  <c r="F108" i="1"/>
  <c r="O112" i="2"/>
  <c r="B109" i="1"/>
  <c r="F109" i="1"/>
  <c r="O113" i="2"/>
  <c r="B110" i="1"/>
  <c r="F110" i="1"/>
  <c r="O114" i="2"/>
  <c r="B111" i="1"/>
  <c r="F111" i="1"/>
  <c r="O115" i="2"/>
  <c r="B112" i="1"/>
  <c r="F112" i="1"/>
  <c r="O116" i="2"/>
  <c r="B113" i="1"/>
  <c r="F113" i="1"/>
  <c r="O117" i="2"/>
  <c r="B114" i="1"/>
  <c r="F114" i="1"/>
  <c r="O118" i="2"/>
  <c r="B115" i="1"/>
  <c r="F115" i="1"/>
  <c r="O119" i="2"/>
  <c r="B116" i="1"/>
  <c r="F116" i="1"/>
  <c r="O120" i="2"/>
  <c r="B117" i="1"/>
  <c r="F117" i="1"/>
  <c r="O121" i="2"/>
  <c r="B118" i="1"/>
  <c r="F118" i="1"/>
  <c r="O122" i="2"/>
  <c r="B119" i="1"/>
  <c r="F119" i="1"/>
  <c r="O123" i="2"/>
  <c r="B120" i="1"/>
  <c r="F120" i="1"/>
  <c r="O124" i="2"/>
  <c r="B121" i="1"/>
  <c r="F121" i="1"/>
  <c r="O125" i="2"/>
  <c r="B122" i="1"/>
  <c r="F122" i="1"/>
  <c r="O126" i="2"/>
  <c r="B123" i="1"/>
  <c r="F123" i="1"/>
  <c r="O127" i="2"/>
  <c r="B124" i="1"/>
  <c r="F124" i="1"/>
  <c r="O128" i="2"/>
  <c r="B125" i="1"/>
  <c r="F125" i="1"/>
  <c r="O129" i="2"/>
  <c r="B126" i="1"/>
  <c r="F126" i="1"/>
  <c r="O130" i="2"/>
  <c r="B127" i="1"/>
  <c r="F127" i="1"/>
  <c r="O131" i="2"/>
  <c r="B128" i="1"/>
  <c r="F128" i="1"/>
  <c r="O132" i="2"/>
  <c r="B129" i="1"/>
  <c r="F129" i="1"/>
  <c r="O133" i="2"/>
  <c r="B130" i="1"/>
  <c r="F130" i="1"/>
  <c r="O134" i="2"/>
  <c r="B131" i="1"/>
  <c r="F131" i="1"/>
  <c r="O135" i="2"/>
  <c r="B132" i="1"/>
  <c r="F132" i="1"/>
  <c r="O136" i="2"/>
  <c r="B133" i="1"/>
  <c r="F133" i="1"/>
  <c r="O137" i="2"/>
  <c r="B134" i="1"/>
  <c r="F134" i="1"/>
  <c r="O138" i="2"/>
  <c r="B135" i="1"/>
  <c r="F135" i="1"/>
  <c r="O139" i="2"/>
  <c r="B136" i="1"/>
  <c r="F136" i="1"/>
  <c r="O140" i="2"/>
  <c r="B137" i="1"/>
  <c r="F137" i="1"/>
  <c r="O141" i="2"/>
  <c r="B138" i="1"/>
  <c r="F138" i="1"/>
  <c r="O142" i="2"/>
  <c r="B139" i="1"/>
  <c r="F139" i="1"/>
  <c r="O143" i="2"/>
  <c r="B140" i="1"/>
  <c r="F140" i="1"/>
  <c r="O144" i="2"/>
  <c r="B141" i="1"/>
  <c r="F141" i="1"/>
  <c r="O145" i="2"/>
  <c r="B142" i="1"/>
  <c r="F142" i="1"/>
  <c r="O146" i="2"/>
  <c r="B143" i="1"/>
  <c r="F143" i="1"/>
  <c r="O147" i="2"/>
  <c r="B144" i="1"/>
  <c r="F144" i="1"/>
  <c r="O148" i="2"/>
  <c r="B145" i="1"/>
  <c r="F145" i="1"/>
  <c r="O149" i="2"/>
  <c r="B146" i="1"/>
  <c r="F146" i="1"/>
  <c r="O150" i="2"/>
  <c r="B147" i="1"/>
  <c r="F147" i="1"/>
  <c r="O151" i="2"/>
  <c r="B148" i="1"/>
  <c r="F148" i="1"/>
  <c r="O152" i="2"/>
  <c r="B149" i="1"/>
  <c r="F149" i="1"/>
  <c r="O153" i="2"/>
  <c r="B150" i="1"/>
  <c r="F150" i="1"/>
  <c r="O154" i="2"/>
  <c r="B151" i="1"/>
  <c r="F151" i="1"/>
  <c r="O155" i="2"/>
  <c r="B152" i="1"/>
  <c r="F152" i="1"/>
  <c r="O156" i="2"/>
  <c r="B153" i="1"/>
  <c r="F153" i="1"/>
  <c r="O157" i="2"/>
  <c r="B154" i="1"/>
  <c r="F154" i="1"/>
  <c r="O158" i="2"/>
  <c r="B155" i="1"/>
  <c r="F155" i="1"/>
  <c r="O159" i="2"/>
  <c r="B156" i="1"/>
  <c r="F156" i="1"/>
  <c r="O160" i="2"/>
  <c r="B157" i="1"/>
  <c r="F157" i="1"/>
  <c r="O161" i="2"/>
  <c r="B158" i="1"/>
  <c r="F158" i="1"/>
  <c r="O162" i="2"/>
  <c r="B159" i="1"/>
  <c r="F159" i="1"/>
  <c r="O163" i="2"/>
  <c r="B160" i="1"/>
  <c r="F160" i="1"/>
  <c r="O164" i="2"/>
  <c r="B161" i="1"/>
  <c r="F161" i="1"/>
  <c r="O165" i="2"/>
  <c r="B162" i="1"/>
  <c r="F162" i="1"/>
  <c r="O166" i="2"/>
  <c r="B163" i="1"/>
  <c r="F163" i="1"/>
  <c r="O167" i="2"/>
  <c r="B164" i="1"/>
  <c r="F164" i="1"/>
  <c r="O168" i="2"/>
  <c r="B165" i="1"/>
  <c r="F165" i="1"/>
  <c r="O169" i="2"/>
  <c r="B166" i="1"/>
  <c r="F166" i="1"/>
  <c r="O170" i="2"/>
  <c r="B167" i="1"/>
  <c r="F167" i="1"/>
  <c r="O171" i="2"/>
  <c r="B168" i="1"/>
  <c r="F168" i="1"/>
  <c r="O172" i="2"/>
  <c r="B169" i="1"/>
  <c r="F169" i="1"/>
  <c r="O173" i="2"/>
  <c r="B170" i="1"/>
  <c r="F170" i="1"/>
  <c r="O174" i="2"/>
  <c r="B171" i="1"/>
  <c r="F171" i="1"/>
  <c r="O175" i="2"/>
  <c r="B172" i="1"/>
  <c r="F172" i="1"/>
  <c r="O176" i="2"/>
  <c r="B173" i="1"/>
  <c r="F173" i="1"/>
  <c r="O177" i="2"/>
  <c r="B174" i="1"/>
  <c r="F174" i="1"/>
  <c r="O178" i="2"/>
  <c r="B175" i="1"/>
  <c r="F175" i="1"/>
  <c r="O179" i="2"/>
  <c r="B176" i="1"/>
  <c r="F176" i="1"/>
  <c r="O180" i="2"/>
  <c r="B177" i="1"/>
  <c r="F177" i="1"/>
  <c r="O181" i="2"/>
  <c r="B178" i="1"/>
  <c r="F178" i="1"/>
  <c r="O182" i="2"/>
  <c r="B179" i="1"/>
  <c r="F179" i="1"/>
  <c r="O183" i="2"/>
  <c r="B180" i="1"/>
  <c r="F180" i="1"/>
  <c r="O184" i="2"/>
  <c r="B181" i="1"/>
  <c r="F181" i="1"/>
  <c r="O185" i="2"/>
  <c r="B182" i="1"/>
  <c r="F182" i="1"/>
  <c r="O186" i="2"/>
  <c r="B183" i="1"/>
  <c r="F183" i="1"/>
  <c r="O187" i="2"/>
  <c r="B184" i="1"/>
  <c r="F184" i="1"/>
  <c r="O188" i="2"/>
  <c r="B185" i="1"/>
  <c r="F185" i="1"/>
  <c r="O189" i="2"/>
  <c r="B186" i="1"/>
  <c r="F186" i="1"/>
  <c r="O190" i="2"/>
  <c r="B187" i="1"/>
  <c r="F187" i="1"/>
  <c r="O191" i="2"/>
  <c r="B188" i="1"/>
  <c r="F188" i="1"/>
  <c r="O192" i="2"/>
  <c r="B189" i="1"/>
  <c r="F189" i="1"/>
  <c r="O193" i="2"/>
  <c r="B190" i="1"/>
  <c r="F190" i="1"/>
  <c r="O194" i="2"/>
  <c r="B191" i="1"/>
  <c r="F191" i="1"/>
  <c r="O195" i="2"/>
  <c r="B192" i="1"/>
  <c r="F192" i="1"/>
  <c r="O196" i="2"/>
  <c r="B193" i="1"/>
  <c r="F193" i="1"/>
  <c r="O197" i="2"/>
  <c r="B194" i="1"/>
  <c r="F194" i="1"/>
  <c r="O198" i="2"/>
  <c r="B195" i="1"/>
  <c r="F195" i="1"/>
  <c r="O199" i="2"/>
  <c r="B196" i="1"/>
  <c r="F196" i="1"/>
  <c r="O200" i="2"/>
  <c r="B197" i="1"/>
  <c r="F197" i="1"/>
  <c r="O201" i="2"/>
  <c r="B198" i="1"/>
  <c r="F198" i="1"/>
  <c r="O202" i="2"/>
  <c r="B199" i="1"/>
  <c r="F199" i="1"/>
  <c r="O203" i="2"/>
  <c r="B200" i="1"/>
  <c r="F200" i="1"/>
  <c r="O204" i="2"/>
  <c r="B201" i="1"/>
  <c r="F201" i="1"/>
  <c r="O205" i="2"/>
  <c r="B202" i="1"/>
  <c r="F202" i="1"/>
  <c r="O206" i="2"/>
  <c r="B203" i="1"/>
  <c r="F203" i="1"/>
  <c r="O207" i="2"/>
  <c r="B204" i="1"/>
  <c r="F204" i="1"/>
  <c r="O208" i="2"/>
  <c r="B205" i="1"/>
  <c r="F205" i="1"/>
  <c r="O209" i="2"/>
  <c r="B206" i="1"/>
  <c r="F206" i="1"/>
  <c r="O210" i="2"/>
  <c r="B207" i="1"/>
  <c r="F207" i="1"/>
  <c r="O211" i="2"/>
  <c r="B208" i="1"/>
  <c r="F208" i="1"/>
  <c r="O212" i="2"/>
  <c r="B209" i="1"/>
  <c r="F209" i="1"/>
  <c r="O213" i="2"/>
  <c r="B210" i="1"/>
  <c r="F210" i="1"/>
  <c r="O214" i="2"/>
  <c r="B211" i="1"/>
  <c r="F211" i="1"/>
  <c r="O215" i="2"/>
  <c r="B212" i="1"/>
  <c r="F212" i="1"/>
  <c r="O216" i="2"/>
  <c r="B213" i="1"/>
  <c r="F213" i="1"/>
  <c r="O217" i="2"/>
  <c r="B214" i="1"/>
  <c r="F214" i="1"/>
  <c r="O218" i="2"/>
  <c r="B215" i="1"/>
  <c r="F215" i="1"/>
  <c r="O219" i="2"/>
  <c r="B216" i="1"/>
  <c r="F216" i="1"/>
  <c r="O220" i="2"/>
  <c r="B217" i="1"/>
  <c r="F217" i="1"/>
  <c r="O221" i="2"/>
  <c r="B218" i="1"/>
  <c r="F218" i="1"/>
  <c r="O222" i="2"/>
  <c r="B219" i="1"/>
  <c r="F219" i="1"/>
  <c r="O223" i="2"/>
  <c r="B220" i="1"/>
  <c r="F220" i="1"/>
  <c r="O224" i="2"/>
  <c r="B221" i="1"/>
  <c r="F221" i="1"/>
  <c r="O225" i="2"/>
  <c r="B222" i="1"/>
  <c r="F222" i="1"/>
  <c r="O226" i="2"/>
  <c r="B223" i="1"/>
  <c r="F223" i="1"/>
  <c r="O227" i="2"/>
  <c r="B224" i="1"/>
  <c r="F224" i="1"/>
  <c r="O228" i="2"/>
  <c r="B225" i="1"/>
  <c r="F225" i="1"/>
  <c r="O229" i="2"/>
  <c r="B226" i="1"/>
  <c r="F226" i="1"/>
  <c r="O230" i="2"/>
  <c r="B227" i="1"/>
  <c r="F227" i="1"/>
  <c r="O231" i="2"/>
  <c r="B228" i="1"/>
  <c r="F228" i="1"/>
  <c r="O232" i="2"/>
  <c r="B229" i="1"/>
  <c r="F229" i="1"/>
  <c r="O233" i="2"/>
  <c r="B230" i="1"/>
  <c r="F230" i="1"/>
  <c r="O234" i="2"/>
  <c r="B231" i="1"/>
  <c r="F231" i="1"/>
  <c r="O235" i="2"/>
  <c r="B232" i="1"/>
  <c r="F232" i="1"/>
  <c r="O236" i="2"/>
  <c r="B233" i="1"/>
  <c r="F233" i="1"/>
  <c r="O237" i="2"/>
  <c r="B234" i="1"/>
  <c r="F234" i="1"/>
  <c r="O238" i="2"/>
  <c r="B235" i="1"/>
  <c r="F235" i="1"/>
  <c r="O239" i="2"/>
  <c r="B236" i="1"/>
  <c r="F236" i="1"/>
  <c r="O240" i="2"/>
  <c r="B237" i="1"/>
  <c r="F237" i="1"/>
  <c r="O241" i="2"/>
  <c r="B238" i="1"/>
  <c r="F238" i="1"/>
  <c r="O242" i="2"/>
  <c r="B239" i="1"/>
  <c r="F239" i="1"/>
  <c r="O243" i="2"/>
  <c r="B240" i="1"/>
  <c r="F240" i="1"/>
  <c r="O244" i="2"/>
  <c r="B241" i="1"/>
  <c r="F241" i="1"/>
  <c r="O245" i="2"/>
  <c r="B242" i="1"/>
  <c r="F242" i="1"/>
  <c r="O246" i="2"/>
  <c r="B243" i="1"/>
  <c r="F243" i="1"/>
  <c r="O247" i="2"/>
  <c r="B244" i="1"/>
  <c r="F244" i="1"/>
  <c r="O248" i="2"/>
  <c r="B245" i="1"/>
  <c r="F245" i="1"/>
  <c r="O249" i="2"/>
  <c r="B246" i="1"/>
  <c r="F246" i="1"/>
  <c r="O250" i="2"/>
  <c r="B247" i="1"/>
  <c r="F247" i="1"/>
  <c r="O251" i="2"/>
  <c r="B248" i="1"/>
  <c r="F248" i="1"/>
  <c r="O252" i="2"/>
  <c r="B249" i="1"/>
  <c r="F249" i="1"/>
  <c r="O253" i="2"/>
  <c r="B250" i="1"/>
  <c r="F250" i="1"/>
  <c r="O254" i="2"/>
  <c r="B251" i="1"/>
  <c r="F251" i="1"/>
  <c r="O255" i="2"/>
  <c r="B252" i="1"/>
  <c r="F252" i="1"/>
  <c r="O256" i="2"/>
  <c r="B253" i="1"/>
  <c r="F253" i="1"/>
  <c r="O257" i="2"/>
  <c r="B254" i="1"/>
  <c r="F254" i="1"/>
  <c r="O258" i="2"/>
  <c r="B255" i="1"/>
  <c r="F255" i="1"/>
  <c r="O259" i="2"/>
  <c r="B256" i="1"/>
  <c r="F256" i="1"/>
  <c r="O260" i="2"/>
  <c r="B257" i="1"/>
  <c r="F257" i="1"/>
  <c r="O261" i="2"/>
  <c r="B258" i="1"/>
  <c r="F258" i="1"/>
  <c r="O262" i="2"/>
  <c r="B259" i="1"/>
  <c r="F259" i="1"/>
  <c r="O263" i="2"/>
  <c r="B260" i="1"/>
  <c r="F260" i="1"/>
  <c r="O264" i="2"/>
  <c r="B261" i="1"/>
  <c r="F261" i="1"/>
  <c r="O265" i="2"/>
  <c r="B262" i="1"/>
  <c r="F262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B6" i="5"/>
  <c r="F6" i="5"/>
  <c r="J13" i="1"/>
  <c r="K13" i="1"/>
  <c r="J14" i="1"/>
  <c r="K14" i="1"/>
  <c r="J15" i="1"/>
  <c r="K15" i="1"/>
  <c r="J16" i="1"/>
  <c r="K16" i="1"/>
  <c r="B7" i="5"/>
  <c r="F7" i="5"/>
  <c r="B8" i="5"/>
  <c r="F8" i="5"/>
  <c r="J17" i="1"/>
  <c r="K17" i="1"/>
  <c r="J18" i="1"/>
  <c r="K18" i="1"/>
  <c r="J19" i="1"/>
  <c r="K19" i="1"/>
  <c r="B9" i="5"/>
  <c r="F9" i="5"/>
  <c r="J20" i="1"/>
  <c r="K20" i="1"/>
  <c r="J21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B10" i="5"/>
  <c r="F10" i="5"/>
  <c r="J22" i="1"/>
  <c r="J23" i="1"/>
  <c r="B11" i="5"/>
  <c r="F11" i="5"/>
  <c r="B12" i="5"/>
  <c r="F12" i="5"/>
  <c r="B13" i="5"/>
  <c r="F13" i="5"/>
  <c r="B14" i="5"/>
  <c r="F14" i="5"/>
  <c r="B15" i="5"/>
  <c r="F15" i="5"/>
  <c r="B16" i="5"/>
  <c r="F16" i="5"/>
  <c r="B17" i="5"/>
  <c r="F17" i="5"/>
  <c r="B18" i="5"/>
  <c r="F18" i="5"/>
  <c r="B19" i="5"/>
  <c r="F19" i="5"/>
  <c r="B20" i="5"/>
  <c r="F20" i="5"/>
  <c r="B21" i="5"/>
  <c r="F21" i="5"/>
  <c r="B22" i="5"/>
  <c r="F22" i="5"/>
  <c r="B23" i="5"/>
  <c r="F23" i="5"/>
  <c r="B24" i="5"/>
  <c r="F24" i="5"/>
  <c r="B25" i="5"/>
  <c r="F25" i="5"/>
  <c r="B26" i="5"/>
  <c r="F26" i="5"/>
  <c r="B27" i="5"/>
  <c r="F27" i="5"/>
  <c r="B28" i="5"/>
  <c r="F28" i="5"/>
  <c r="B29" i="5"/>
  <c r="F29" i="5"/>
  <c r="B30" i="5"/>
  <c r="F30" i="5"/>
  <c r="B31" i="5"/>
  <c r="F31" i="5"/>
  <c r="B32" i="5"/>
  <c r="F32" i="5"/>
  <c r="B33" i="5"/>
  <c r="F33" i="5"/>
  <c r="B34" i="5"/>
  <c r="F34" i="5"/>
  <c r="B35" i="5"/>
  <c r="F35" i="5"/>
  <c r="B36" i="5"/>
  <c r="F36" i="5"/>
  <c r="B37" i="5"/>
  <c r="F37" i="5"/>
  <c r="B38" i="5"/>
  <c r="F38" i="5"/>
  <c r="B39" i="5"/>
  <c r="F39" i="5"/>
  <c r="B40" i="5"/>
  <c r="F40" i="5"/>
  <c r="B41" i="5"/>
  <c r="F41" i="5"/>
  <c r="B42" i="5"/>
  <c r="F42" i="5"/>
  <c r="B43" i="5"/>
  <c r="F43" i="5"/>
  <c r="B44" i="5"/>
  <c r="F44" i="5"/>
  <c r="B45" i="5"/>
  <c r="F45" i="5"/>
  <c r="B46" i="5"/>
  <c r="F46" i="5"/>
  <c r="B47" i="5"/>
  <c r="F47" i="5"/>
  <c r="B48" i="5"/>
  <c r="F48" i="5"/>
  <c r="B49" i="5"/>
  <c r="F49" i="5"/>
  <c r="B50" i="5"/>
  <c r="F50" i="5"/>
  <c r="F51" i="5"/>
  <c r="B52" i="5"/>
  <c r="F52" i="5"/>
  <c r="B53" i="5"/>
  <c r="F53" i="5"/>
  <c r="B54" i="5"/>
  <c r="F54" i="5"/>
  <c r="B55" i="5"/>
  <c r="F55" i="5"/>
  <c r="B56" i="5"/>
  <c r="F56" i="5"/>
  <c r="B57" i="5"/>
  <c r="F57" i="5"/>
  <c r="B58" i="5"/>
  <c r="F58" i="5"/>
  <c r="B59" i="5"/>
  <c r="F59" i="5"/>
  <c r="B60" i="5"/>
  <c r="F60" i="5"/>
  <c r="B61" i="5"/>
  <c r="F61" i="5"/>
  <c r="B62" i="5"/>
  <c r="F62" i="5"/>
  <c r="B63" i="5"/>
  <c r="F63" i="5"/>
  <c r="B64" i="5"/>
  <c r="F64" i="5"/>
  <c r="B65" i="5"/>
  <c r="F65" i="5"/>
  <c r="B66" i="5"/>
  <c r="F66" i="5"/>
  <c r="B67" i="5"/>
  <c r="F67" i="5"/>
  <c r="B68" i="5"/>
  <c r="F68" i="5"/>
  <c r="B69" i="5"/>
  <c r="F69" i="5"/>
  <c r="B70" i="5"/>
  <c r="F70" i="5"/>
  <c r="B71" i="5"/>
  <c r="F71" i="5"/>
  <c r="B72" i="5"/>
  <c r="F72" i="5"/>
  <c r="B73" i="5"/>
  <c r="F73" i="5"/>
  <c r="B74" i="5"/>
  <c r="F74" i="5"/>
  <c r="B75" i="5"/>
  <c r="F75" i="5"/>
  <c r="B76" i="5"/>
  <c r="F76" i="5"/>
  <c r="B77" i="5"/>
  <c r="F77" i="5"/>
  <c r="B78" i="5"/>
  <c r="F78" i="5"/>
  <c r="B79" i="5"/>
  <c r="F79" i="5"/>
  <c r="B80" i="5"/>
  <c r="F80" i="5"/>
  <c r="B81" i="5"/>
  <c r="F81" i="5"/>
  <c r="B82" i="5"/>
  <c r="F82" i="5"/>
  <c r="B83" i="5"/>
  <c r="F83" i="5"/>
  <c r="B84" i="5"/>
  <c r="F84" i="5"/>
  <c r="B85" i="5"/>
  <c r="F85" i="5"/>
  <c r="B86" i="5"/>
  <c r="F86" i="5"/>
  <c r="B87" i="5"/>
  <c r="F87" i="5"/>
  <c r="B88" i="5"/>
  <c r="F88" i="5"/>
  <c r="B89" i="5"/>
  <c r="F89" i="5"/>
  <c r="B90" i="5"/>
  <c r="F90" i="5"/>
  <c r="B91" i="5"/>
  <c r="F91" i="5"/>
  <c r="B92" i="5"/>
  <c r="F92" i="5"/>
  <c r="B93" i="5"/>
  <c r="F93" i="5"/>
  <c r="B94" i="5"/>
  <c r="F94" i="5"/>
  <c r="B95" i="5"/>
  <c r="F95" i="5"/>
  <c r="B96" i="5"/>
  <c r="F96" i="5"/>
  <c r="B97" i="5"/>
  <c r="F97" i="5"/>
  <c r="B98" i="5"/>
  <c r="F98" i="5"/>
  <c r="B99" i="5"/>
  <c r="F99" i="5"/>
  <c r="B100" i="5"/>
  <c r="F100" i="5"/>
  <c r="B101" i="5"/>
  <c r="F101" i="5"/>
  <c r="B102" i="5"/>
  <c r="F102" i="5"/>
  <c r="B103" i="5"/>
  <c r="F103" i="5"/>
  <c r="B104" i="5"/>
  <c r="F104" i="5"/>
  <c r="B105" i="5"/>
  <c r="F105" i="5"/>
  <c r="B106" i="5"/>
  <c r="F106" i="5"/>
  <c r="B107" i="5"/>
  <c r="F107" i="5"/>
  <c r="B108" i="5"/>
  <c r="F108" i="5"/>
  <c r="B109" i="5"/>
  <c r="F109" i="5"/>
  <c r="B110" i="5"/>
  <c r="F110" i="5"/>
  <c r="B111" i="5"/>
  <c r="F111" i="5"/>
  <c r="B112" i="5"/>
  <c r="F112" i="5"/>
  <c r="B113" i="5"/>
  <c r="F113" i="5"/>
  <c r="B114" i="5"/>
  <c r="F114" i="5"/>
  <c r="B115" i="5"/>
  <c r="F115" i="5"/>
  <c r="B116" i="5"/>
  <c r="F116" i="5"/>
  <c r="B117" i="5"/>
  <c r="F117" i="5"/>
  <c r="B118" i="5"/>
  <c r="F118" i="5"/>
  <c r="B119" i="5"/>
  <c r="F119" i="5"/>
  <c r="B120" i="5"/>
  <c r="F120" i="5"/>
  <c r="B121" i="5"/>
  <c r="F121" i="5"/>
  <c r="B122" i="5"/>
  <c r="F122" i="5"/>
  <c r="B123" i="5"/>
  <c r="F123" i="5"/>
  <c r="B124" i="5"/>
  <c r="F124" i="5"/>
  <c r="B125" i="5"/>
  <c r="F125" i="5"/>
  <c r="B126" i="5"/>
  <c r="F126" i="5"/>
  <c r="B127" i="5"/>
  <c r="F127" i="5"/>
  <c r="B128" i="5"/>
  <c r="F128" i="5"/>
  <c r="B129" i="5"/>
  <c r="F129" i="5"/>
  <c r="B130" i="5"/>
  <c r="F130" i="5"/>
  <c r="B131" i="5"/>
  <c r="F131" i="5"/>
  <c r="B132" i="5"/>
  <c r="F132" i="5"/>
  <c r="B133" i="5"/>
  <c r="F133" i="5"/>
  <c r="B134" i="5"/>
  <c r="F134" i="5"/>
  <c r="B135" i="5"/>
  <c r="F135" i="5"/>
  <c r="B136" i="5"/>
  <c r="F136" i="5"/>
  <c r="B137" i="5"/>
  <c r="F137" i="5"/>
  <c r="B138" i="5"/>
  <c r="F138" i="5"/>
  <c r="B139" i="5"/>
  <c r="F139" i="5"/>
  <c r="B140" i="5"/>
  <c r="F140" i="5"/>
  <c r="B141" i="5"/>
  <c r="F141" i="5"/>
  <c r="B142" i="5"/>
  <c r="F142" i="5"/>
  <c r="B143" i="5"/>
  <c r="F143" i="5"/>
  <c r="B144" i="5"/>
  <c r="F144" i="5"/>
  <c r="B145" i="5"/>
  <c r="F145" i="5"/>
  <c r="B146" i="5"/>
  <c r="F146" i="5"/>
  <c r="B147" i="5"/>
  <c r="F147" i="5"/>
  <c r="B148" i="5"/>
  <c r="F148" i="5"/>
  <c r="B149" i="5"/>
  <c r="F149" i="5"/>
  <c r="B150" i="5"/>
  <c r="F150" i="5"/>
  <c r="B151" i="5"/>
  <c r="F151" i="5"/>
  <c r="B152" i="5"/>
  <c r="F152" i="5"/>
  <c r="B153" i="5"/>
  <c r="F153" i="5"/>
  <c r="B154" i="5"/>
  <c r="F154" i="5"/>
  <c r="B155" i="5"/>
  <c r="F155" i="5"/>
  <c r="B156" i="5"/>
  <c r="F156" i="5"/>
  <c r="B157" i="5"/>
  <c r="F157" i="5"/>
  <c r="B158" i="5"/>
  <c r="F158" i="5"/>
  <c r="B159" i="5"/>
  <c r="F159" i="5"/>
  <c r="B160" i="5"/>
  <c r="F160" i="5"/>
  <c r="B161" i="5"/>
  <c r="F161" i="5"/>
  <c r="B162" i="5"/>
  <c r="F162" i="5"/>
  <c r="B163" i="5"/>
  <c r="F163" i="5"/>
  <c r="B164" i="5"/>
  <c r="F164" i="5"/>
  <c r="B165" i="5"/>
  <c r="F165" i="5"/>
  <c r="B166" i="5"/>
  <c r="F166" i="5"/>
  <c r="B167" i="5"/>
  <c r="F167" i="5"/>
  <c r="B168" i="5"/>
  <c r="F168" i="5"/>
  <c r="B169" i="5"/>
  <c r="F169" i="5"/>
  <c r="B170" i="5"/>
  <c r="F170" i="5"/>
  <c r="B171" i="5"/>
  <c r="F171" i="5"/>
  <c r="B172" i="5"/>
  <c r="F172" i="5"/>
  <c r="B173" i="5"/>
  <c r="F173" i="5"/>
  <c r="B174" i="5"/>
  <c r="F174" i="5"/>
  <c r="B175" i="5"/>
  <c r="F175" i="5"/>
  <c r="B176" i="5"/>
  <c r="F176" i="5"/>
  <c r="B177" i="5"/>
  <c r="F177" i="5"/>
  <c r="B178" i="5"/>
  <c r="F178" i="5"/>
  <c r="B179" i="5"/>
  <c r="F179" i="5"/>
  <c r="B180" i="5"/>
  <c r="F180" i="5"/>
  <c r="B181" i="5"/>
  <c r="F181" i="5"/>
  <c r="B182" i="5"/>
  <c r="F182" i="5"/>
  <c r="B183" i="5"/>
  <c r="F183" i="5"/>
  <c r="B184" i="5"/>
  <c r="F184" i="5"/>
  <c r="B185" i="5"/>
  <c r="F185" i="5"/>
  <c r="B186" i="5"/>
  <c r="F186" i="5"/>
  <c r="B187" i="5"/>
  <c r="F187" i="5"/>
  <c r="B188" i="5"/>
  <c r="F188" i="5"/>
  <c r="B189" i="5"/>
  <c r="F189" i="5"/>
  <c r="B190" i="5"/>
  <c r="F190" i="5"/>
  <c r="B191" i="5"/>
  <c r="F191" i="5"/>
  <c r="B192" i="5"/>
  <c r="F192" i="5"/>
  <c r="B193" i="5"/>
  <c r="F193" i="5"/>
  <c r="B194" i="5"/>
  <c r="F194" i="5"/>
  <c r="B195" i="5"/>
  <c r="F195" i="5"/>
  <c r="B196" i="5"/>
  <c r="F196" i="5"/>
  <c r="B197" i="5"/>
  <c r="F197" i="5"/>
  <c r="B198" i="5"/>
  <c r="F198" i="5"/>
  <c r="B199" i="5"/>
  <c r="F199" i="5"/>
  <c r="B200" i="5"/>
  <c r="F200" i="5"/>
  <c r="B201" i="5"/>
  <c r="F201" i="5"/>
  <c r="B202" i="5"/>
  <c r="F202" i="5"/>
  <c r="B203" i="5"/>
  <c r="F203" i="5"/>
  <c r="B204" i="5"/>
  <c r="F204" i="5"/>
  <c r="B205" i="5"/>
  <c r="F205" i="5"/>
  <c r="B206" i="5"/>
  <c r="F206" i="5"/>
  <c r="B207" i="5"/>
  <c r="F207" i="5"/>
  <c r="B208" i="5"/>
  <c r="F208" i="5"/>
  <c r="B209" i="5"/>
  <c r="F209" i="5"/>
  <c r="B210" i="5"/>
  <c r="F210" i="5"/>
  <c r="B211" i="5"/>
  <c r="F211" i="5"/>
  <c r="B212" i="5"/>
  <c r="F212" i="5"/>
  <c r="B213" i="5"/>
  <c r="F213" i="5"/>
  <c r="B214" i="5"/>
  <c r="F214" i="5"/>
  <c r="B215" i="5"/>
  <c r="F215" i="5"/>
  <c r="B216" i="5"/>
  <c r="F216" i="5"/>
  <c r="B217" i="5"/>
  <c r="F217" i="5"/>
  <c r="B218" i="5"/>
  <c r="F218" i="5"/>
  <c r="B219" i="5"/>
  <c r="F219" i="5"/>
  <c r="B220" i="5"/>
  <c r="F220" i="5"/>
  <c r="B221" i="5"/>
  <c r="F221" i="5"/>
  <c r="B222" i="5"/>
  <c r="F222" i="5"/>
  <c r="B223" i="5"/>
  <c r="F223" i="5"/>
  <c r="B224" i="5"/>
  <c r="F224" i="5"/>
  <c r="B225" i="5"/>
  <c r="F225" i="5"/>
  <c r="B226" i="5"/>
  <c r="F226" i="5"/>
  <c r="B227" i="5"/>
  <c r="F227" i="5"/>
  <c r="B228" i="5"/>
  <c r="F228" i="5"/>
  <c r="B229" i="5"/>
  <c r="F229" i="5"/>
  <c r="B230" i="5"/>
  <c r="F230" i="5"/>
  <c r="B231" i="5"/>
  <c r="F231" i="5"/>
  <c r="B232" i="5"/>
  <c r="F232" i="5"/>
  <c r="B233" i="5"/>
  <c r="F233" i="5"/>
  <c r="B234" i="5"/>
  <c r="F234" i="5"/>
  <c r="B235" i="5"/>
  <c r="F235" i="5"/>
  <c r="B236" i="5"/>
  <c r="F236" i="5"/>
  <c r="B237" i="5"/>
  <c r="F237" i="5"/>
  <c r="B238" i="5"/>
  <c r="F238" i="5"/>
  <c r="B239" i="5"/>
  <c r="F239" i="5"/>
  <c r="B240" i="5"/>
  <c r="F240" i="5"/>
  <c r="B241" i="5"/>
  <c r="F241" i="5"/>
  <c r="B242" i="5"/>
  <c r="F242" i="5"/>
  <c r="B243" i="5"/>
  <c r="F243" i="5"/>
  <c r="B244" i="5"/>
  <c r="F244" i="5"/>
  <c r="B245" i="5"/>
  <c r="F245" i="5"/>
  <c r="B246" i="5"/>
  <c r="F246" i="5"/>
  <c r="B247" i="5"/>
  <c r="F247" i="5"/>
  <c r="B248" i="5"/>
  <c r="F248" i="5"/>
  <c r="B249" i="5"/>
  <c r="F249" i="5"/>
  <c r="B250" i="5"/>
  <c r="F250" i="5"/>
  <c r="B251" i="5"/>
  <c r="F251" i="5"/>
  <c r="B252" i="5"/>
  <c r="F252" i="5"/>
  <c r="B253" i="5"/>
  <c r="F253" i="5"/>
  <c r="B254" i="5"/>
  <c r="F254" i="5"/>
  <c r="B255" i="5"/>
  <c r="F255" i="5"/>
  <c r="B256" i="5"/>
  <c r="F256" i="5"/>
  <c r="B257" i="5"/>
  <c r="F257" i="5"/>
  <c r="B258" i="5"/>
  <c r="F258" i="5"/>
  <c r="B259" i="5"/>
  <c r="F259" i="5"/>
  <c r="B260" i="5"/>
  <c r="F260" i="5"/>
  <c r="B261" i="5"/>
  <c r="F261" i="5"/>
  <c r="B262" i="5"/>
  <c r="F262" i="5"/>
  <c r="I6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1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I5" i="5"/>
  <c r="I7" i="5"/>
  <c r="E4" i="7"/>
  <c r="R5" i="1"/>
  <c r="R4" i="1"/>
  <c r="E6" i="7"/>
  <c r="E7" i="7"/>
  <c r="E5" i="7"/>
  <c r="E10" i="7"/>
  <c r="E8" i="7"/>
  <c r="E12" i="7"/>
  <c r="E9" i="7"/>
  <c r="R6" i="1"/>
  <c r="E11" i="7"/>
  <c r="T5" i="1"/>
  <c r="T6" i="1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B3" i="2"/>
  <c r="B2" i="2"/>
  <c r="F9" i="2"/>
  <c r="C5" i="8"/>
  <c r="E5" i="8"/>
  <c r="G173" i="4"/>
  <c r="F5" i="8"/>
  <c r="G5" i="8"/>
  <c r="E3" i="2"/>
  <c r="E5" i="2"/>
  <c r="M3" i="2"/>
  <c r="M2" i="2"/>
  <c r="X2" i="2"/>
  <c r="I173" i="4"/>
  <c r="H5" i="8"/>
  <c r="I5" i="8"/>
  <c r="E4" i="2"/>
  <c r="D5" i="8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I97" i="4"/>
  <c r="G7" i="1"/>
  <c r="H7" i="1"/>
  <c r="I121" i="4"/>
  <c r="G9" i="1"/>
  <c r="H9" i="1"/>
  <c r="I5" i="4"/>
  <c r="G6" i="1"/>
  <c r="H6" i="1"/>
  <c r="G15" i="1"/>
  <c r="H15" i="1"/>
  <c r="I115" i="4"/>
  <c r="G8" i="1"/>
  <c r="H8" i="1"/>
  <c r="I166" i="4"/>
  <c r="G12" i="1"/>
  <c r="H12" i="1"/>
  <c r="G14" i="1"/>
  <c r="H14" i="1"/>
  <c r="I124" i="4"/>
  <c r="G10" i="1"/>
  <c r="H10" i="1"/>
  <c r="I161" i="4"/>
  <c r="G11" i="1"/>
  <c r="H11" i="1"/>
  <c r="I175" i="4"/>
  <c r="G13" i="1"/>
  <c r="H13" i="1"/>
  <c r="G18" i="1"/>
  <c r="H18" i="1"/>
  <c r="G16" i="1"/>
  <c r="H16" i="1"/>
  <c r="G17" i="1"/>
  <c r="H17" i="1"/>
  <c r="G19" i="1"/>
  <c r="H19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I120" i="4"/>
  <c r="I122" i="4"/>
  <c r="G20" i="1"/>
  <c r="H20" i="1"/>
  <c r="G21" i="1"/>
  <c r="H21" i="1"/>
  <c r="G29" i="1"/>
  <c r="H29" i="1"/>
  <c r="G32" i="1"/>
  <c r="H32" i="1"/>
  <c r="G34" i="1"/>
  <c r="H34" i="1"/>
  <c r="G36" i="1"/>
  <c r="H36" i="1"/>
  <c r="G37" i="1"/>
  <c r="H37" i="1"/>
  <c r="G38" i="1"/>
  <c r="H38" i="1"/>
  <c r="G39" i="1"/>
  <c r="H39" i="1"/>
  <c r="G43" i="1"/>
  <c r="H43" i="1"/>
  <c r="G52" i="1"/>
  <c r="H52" i="1"/>
  <c r="G55" i="1"/>
  <c r="H55" i="1"/>
  <c r="G57" i="1"/>
  <c r="H57" i="1"/>
  <c r="G78" i="1"/>
  <c r="H78" i="1"/>
  <c r="G80" i="1"/>
  <c r="H80" i="1"/>
  <c r="G83" i="1"/>
  <c r="H83" i="1"/>
  <c r="G84" i="1"/>
  <c r="H84" i="1"/>
  <c r="G86" i="1"/>
  <c r="H86" i="1"/>
  <c r="G98" i="1"/>
  <c r="H98" i="1"/>
  <c r="G106" i="1"/>
  <c r="H106" i="1"/>
  <c r="G112" i="1"/>
  <c r="H112" i="1"/>
  <c r="G121" i="1"/>
  <c r="H121" i="1"/>
  <c r="G133" i="1"/>
  <c r="H133" i="1"/>
  <c r="G142" i="1"/>
  <c r="H142" i="1"/>
  <c r="G159" i="1"/>
  <c r="H159" i="1"/>
  <c r="G160" i="1"/>
  <c r="H160" i="1"/>
  <c r="G192" i="1"/>
  <c r="H192" i="1"/>
  <c r="G226" i="1"/>
  <c r="H226" i="1"/>
  <c r="G230" i="1"/>
  <c r="H230" i="1"/>
  <c r="G233" i="1"/>
  <c r="H233" i="1"/>
  <c r="G30" i="1"/>
  <c r="H30" i="1"/>
  <c r="G35" i="1"/>
  <c r="H35" i="1"/>
  <c r="G40" i="1"/>
  <c r="H40" i="1"/>
  <c r="G41" i="1"/>
  <c r="H41" i="1"/>
  <c r="G42" i="1"/>
  <c r="H42" i="1"/>
  <c r="G47" i="1"/>
  <c r="H47" i="1"/>
  <c r="G53" i="1"/>
  <c r="H53" i="1"/>
  <c r="G56" i="1"/>
  <c r="H56" i="1"/>
  <c r="G59" i="1"/>
  <c r="H59" i="1"/>
  <c r="G64" i="1"/>
  <c r="H64" i="1"/>
  <c r="G65" i="1"/>
  <c r="H65" i="1"/>
  <c r="G72" i="1"/>
  <c r="H72" i="1"/>
  <c r="G75" i="1"/>
  <c r="H75" i="1"/>
  <c r="G76" i="1"/>
  <c r="H76" i="1"/>
  <c r="G79" i="1"/>
  <c r="H79" i="1"/>
  <c r="G81" i="1"/>
  <c r="H81" i="1"/>
  <c r="G87" i="1"/>
  <c r="H87" i="1"/>
  <c r="G90" i="1"/>
  <c r="H90" i="1"/>
  <c r="G94" i="1"/>
  <c r="H94" i="1"/>
  <c r="G114" i="1"/>
  <c r="H114" i="1"/>
  <c r="G117" i="1"/>
  <c r="H117" i="1"/>
  <c r="G123" i="1"/>
  <c r="H123" i="1"/>
  <c r="G124" i="1"/>
  <c r="H124" i="1"/>
  <c r="G134" i="1"/>
  <c r="H134" i="1"/>
  <c r="G139" i="1"/>
  <c r="H139" i="1"/>
  <c r="G169" i="1"/>
  <c r="H169" i="1"/>
  <c r="G170" i="1"/>
  <c r="H170" i="1"/>
  <c r="G191" i="1"/>
  <c r="H191" i="1"/>
  <c r="G196" i="1"/>
  <c r="H196" i="1"/>
  <c r="G201" i="1"/>
  <c r="H201" i="1"/>
  <c r="G249" i="1"/>
  <c r="H249" i="1"/>
  <c r="G22" i="1"/>
  <c r="G23" i="1"/>
  <c r="G24" i="1"/>
  <c r="G25" i="1"/>
  <c r="G26" i="1"/>
  <c r="G27" i="1"/>
  <c r="G28" i="1"/>
  <c r="G31" i="1"/>
  <c r="G33" i="1"/>
  <c r="G44" i="1"/>
  <c r="G45" i="1"/>
  <c r="G46" i="1"/>
  <c r="G48" i="1"/>
  <c r="G49" i="1"/>
  <c r="G50" i="1"/>
  <c r="G51" i="1"/>
  <c r="G54" i="1"/>
  <c r="G58" i="1"/>
  <c r="G60" i="1"/>
  <c r="G61" i="1"/>
  <c r="G62" i="1"/>
  <c r="G63" i="1"/>
  <c r="G66" i="1"/>
  <c r="G67" i="1"/>
  <c r="G68" i="1"/>
  <c r="G69" i="1"/>
  <c r="G70" i="1"/>
  <c r="G71" i="1"/>
  <c r="G73" i="1"/>
  <c r="G74" i="1"/>
  <c r="G77" i="1"/>
  <c r="G82" i="1"/>
  <c r="G85" i="1"/>
  <c r="G88" i="1"/>
  <c r="G89" i="1"/>
  <c r="G91" i="1"/>
  <c r="G92" i="1"/>
  <c r="G93" i="1"/>
  <c r="G95" i="1"/>
  <c r="G96" i="1"/>
  <c r="G97" i="1"/>
  <c r="G99" i="1"/>
  <c r="G100" i="1"/>
  <c r="G101" i="1"/>
  <c r="G102" i="1"/>
  <c r="G103" i="1"/>
  <c r="G104" i="1"/>
  <c r="G105" i="1"/>
  <c r="G107" i="1"/>
  <c r="G108" i="1"/>
  <c r="G109" i="1"/>
  <c r="G110" i="1"/>
  <c r="G111" i="1"/>
  <c r="G113" i="1"/>
  <c r="G115" i="1"/>
  <c r="G116" i="1"/>
  <c r="G118" i="1"/>
  <c r="G119" i="1"/>
  <c r="G120" i="1"/>
  <c r="G122" i="1"/>
  <c r="G125" i="1"/>
  <c r="G126" i="1"/>
  <c r="G127" i="1"/>
  <c r="G128" i="1"/>
  <c r="G129" i="1"/>
  <c r="G130" i="1"/>
  <c r="G131" i="1"/>
  <c r="G132" i="1"/>
  <c r="G135" i="1"/>
  <c r="G136" i="1"/>
  <c r="G137" i="1"/>
  <c r="G138" i="1"/>
  <c r="G140" i="1"/>
  <c r="G141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1" i="1"/>
  <c r="G162" i="1"/>
  <c r="G163" i="1"/>
  <c r="G164" i="1"/>
  <c r="G165" i="1"/>
  <c r="G166" i="1"/>
  <c r="G167" i="1"/>
  <c r="G168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3" i="1"/>
  <c r="G194" i="1"/>
  <c r="G195" i="1"/>
  <c r="G197" i="1"/>
  <c r="G198" i="1"/>
  <c r="G199" i="1"/>
  <c r="G200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7" i="1"/>
  <c r="G228" i="1"/>
  <c r="G229" i="1"/>
  <c r="G231" i="1"/>
  <c r="G232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I15" i="4"/>
  <c r="I63" i="4"/>
  <c r="I160" i="4"/>
  <c r="I162" i="4"/>
  <c r="I207" i="4"/>
  <c r="I123" i="4"/>
  <c r="I21" i="4"/>
  <c r="I158" i="4"/>
  <c r="I164" i="4"/>
  <c r="I7" i="4"/>
  <c r="I58" i="4"/>
  <c r="I66" i="4"/>
  <c r="I118" i="4"/>
  <c r="I126" i="4"/>
  <c r="I130" i="4"/>
  <c r="I163" i="4"/>
  <c r="I167" i="4"/>
  <c r="I185" i="4"/>
  <c r="I157" i="4"/>
  <c r="I159" i="4"/>
  <c r="I178" i="4"/>
  <c r="I184" i="4"/>
  <c r="I4" i="4"/>
  <c r="I174" i="4"/>
  <c r="I2" i="4"/>
  <c r="I3" i="4"/>
  <c r="I6" i="4"/>
  <c r="I8" i="4"/>
  <c r="I9" i="4"/>
  <c r="I10" i="4"/>
  <c r="I11" i="4"/>
  <c r="I12" i="4"/>
  <c r="I13" i="4"/>
  <c r="I14" i="4"/>
  <c r="I16" i="4"/>
  <c r="I17" i="4"/>
  <c r="I18" i="4"/>
  <c r="I19" i="4"/>
  <c r="I20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9" i="4"/>
  <c r="I60" i="4"/>
  <c r="I61" i="4"/>
  <c r="I62" i="4"/>
  <c r="I64" i="4"/>
  <c r="I65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6" i="4"/>
  <c r="I117" i="4"/>
  <c r="I119" i="4"/>
  <c r="I125" i="4"/>
  <c r="I127" i="4"/>
  <c r="I128" i="4"/>
  <c r="I129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65" i="4"/>
  <c r="I168" i="4"/>
  <c r="I169" i="4"/>
  <c r="I170" i="4"/>
  <c r="I171" i="4"/>
  <c r="I172" i="4"/>
  <c r="I176" i="4"/>
  <c r="I177" i="4"/>
  <c r="I179" i="4"/>
  <c r="I180" i="4"/>
  <c r="I181" i="4"/>
  <c r="I182" i="4"/>
  <c r="I183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Y2" i="2"/>
  <c r="T2" i="2"/>
  <c r="V2" i="2"/>
  <c r="Z2" i="2"/>
  <c r="S3" i="2"/>
  <c r="C11" i="1" a="1"/>
  <c r="C11" i="1"/>
  <c r="C10" i="1" a="1"/>
  <c r="C10" i="1"/>
  <c r="C6" i="1" a="1"/>
  <c r="C6" i="1"/>
  <c r="C8" i="1" a="1"/>
  <c r="C8" i="1"/>
  <c r="C7" i="1" a="1"/>
  <c r="C7" i="1"/>
  <c r="C9" i="1" a="1"/>
  <c r="C9" i="1"/>
  <c r="C12" i="1" a="1"/>
  <c r="C12" i="1"/>
  <c r="C15" i="1" a="1"/>
  <c r="C15" i="1"/>
  <c r="C6" i="5"/>
  <c r="C13" i="1" a="1"/>
  <c r="C13" i="1"/>
  <c r="C18" i="1" a="1"/>
  <c r="C18" i="1"/>
  <c r="C14" i="1" a="1"/>
  <c r="C14" i="1"/>
  <c r="C17" i="1" a="1"/>
  <c r="C17" i="1"/>
  <c r="C13" i="5"/>
  <c r="C16" i="1" a="1"/>
  <c r="C16" i="1"/>
  <c r="C23" i="1" a="1"/>
  <c r="C23" i="1"/>
  <c r="C12" i="5"/>
  <c r="C19" i="1" a="1"/>
  <c r="C19" i="1"/>
  <c r="C9" i="5"/>
  <c r="C8" i="5"/>
  <c r="C16" i="5"/>
  <c r="C21" i="1" a="1"/>
  <c r="C21" i="1"/>
  <c r="C20" i="1" a="1"/>
  <c r="C20" i="1"/>
  <c r="C29" i="1" a="1"/>
  <c r="C29" i="1"/>
  <c r="C22" i="1" a="1"/>
  <c r="C22" i="1"/>
  <c r="C23" i="5"/>
  <c r="C20" i="5"/>
  <c r="C24" i="1" a="1"/>
  <c r="C24" i="1"/>
  <c r="C87" i="1" a="1"/>
  <c r="C87" i="1"/>
  <c r="C261" i="5"/>
  <c r="C10" i="5"/>
  <c r="C14" i="5"/>
  <c r="C7" i="5"/>
  <c r="C11" i="5"/>
  <c r="C19" i="5"/>
  <c r="C18" i="5"/>
  <c r="C15" i="5"/>
  <c r="C17" i="5"/>
  <c r="C21" i="5"/>
  <c r="C22" i="5"/>
  <c r="C24" i="5"/>
  <c r="C32" i="1" a="1"/>
  <c r="C32" i="1"/>
  <c r="C25" i="5"/>
  <c r="C34" i="1" a="1"/>
  <c r="C34" i="1"/>
  <c r="C26" i="5"/>
  <c r="C36" i="1" a="1"/>
  <c r="C36" i="1"/>
  <c r="C27" i="5"/>
  <c r="C37" i="1" a="1"/>
  <c r="C37" i="1"/>
  <c r="C28" i="5"/>
  <c r="C38" i="1" a="1"/>
  <c r="C38" i="1"/>
  <c r="C29" i="5"/>
  <c r="C76" i="1" a="1"/>
  <c r="C76" i="1"/>
  <c r="C39" i="1" a="1"/>
  <c r="C39" i="1"/>
  <c r="C30" i="5"/>
  <c r="C43" i="1" a="1"/>
  <c r="C43" i="1"/>
  <c r="C31" i="5"/>
  <c r="C32" i="5"/>
  <c r="C33" i="5"/>
  <c r="C34" i="5"/>
  <c r="C84" i="1" a="1"/>
  <c r="C84" i="1"/>
  <c r="C35" i="5"/>
  <c r="C36" i="5"/>
  <c r="C52" i="1" a="1"/>
  <c r="C52" i="1"/>
  <c r="C37" i="5"/>
  <c r="C38" i="5"/>
  <c r="C55" i="1" a="1"/>
  <c r="C55" i="1"/>
  <c r="C39" i="5"/>
  <c r="C57" i="1" a="1"/>
  <c r="C57" i="1"/>
  <c r="C40" i="5"/>
  <c r="C41" i="5"/>
  <c r="C42" i="5"/>
  <c r="C43" i="5"/>
  <c r="C44" i="5"/>
  <c r="C45" i="5"/>
  <c r="C46" i="5"/>
  <c r="C40" i="1" a="1"/>
  <c r="C40" i="1"/>
  <c r="C47" i="5"/>
  <c r="C48" i="5"/>
  <c r="C49" i="5"/>
  <c r="C50" i="5"/>
  <c r="C78" i="1" a="1"/>
  <c r="C78" i="1"/>
  <c r="C51" i="5"/>
  <c r="C80" i="1" a="1"/>
  <c r="C80" i="1"/>
  <c r="C52" i="5"/>
  <c r="C53" i="5"/>
  <c r="C83" i="1" a="1"/>
  <c r="C83" i="1"/>
  <c r="C54" i="5"/>
  <c r="C55" i="5"/>
  <c r="C56" i="5"/>
  <c r="C86" i="1" a="1"/>
  <c r="C86" i="1"/>
  <c r="C57" i="5"/>
  <c r="C58" i="5"/>
  <c r="C59" i="5"/>
  <c r="C60" i="5"/>
  <c r="C61" i="5"/>
  <c r="C62" i="5"/>
  <c r="C63" i="5"/>
  <c r="C98" i="1" a="1"/>
  <c r="C98" i="1"/>
  <c r="C64" i="5"/>
  <c r="C65" i="5"/>
  <c r="C66" i="5"/>
  <c r="C67" i="5"/>
  <c r="C68" i="5"/>
  <c r="C69" i="5"/>
  <c r="C70" i="5"/>
  <c r="C106" i="1" a="1"/>
  <c r="C106" i="1"/>
  <c r="C71" i="5"/>
  <c r="C72" i="5"/>
  <c r="C73" i="5"/>
  <c r="C74" i="5"/>
  <c r="C75" i="5"/>
  <c r="C112" i="1" a="1"/>
  <c r="C112" i="1"/>
  <c r="C76" i="5"/>
  <c r="C77" i="5"/>
  <c r="C78" i="5"/>
  <c r="C79" i="5"/>
  <c r="C80" i="5"/>
  <c r="C81" i="5"/>
  <c r="C121" i="1" a="1"/>
  <c r="C121" i="1"/>
  <c r="C82" i="5"/>
  <c r="C83" i="5"/>
  <c r="C84" i="5"/>
  <c r="C142" i="1" a="1"/>
  <c r="C142" i="1"/>
  <c r="C85" i="5"/>
  <c r="C86" i="5"/>
  <c r="C87" i="5"/>
  <c r="C88" i="5"/>
  <c r="C89" i="5"/>
  <c r="C90" i="5"/>
  <c r="C133" i="1" a="1"/>
  <c r="C133" i="1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59" i="1" a="1"/>
  <c r="C159" i="1"/>
  <c r="C107" i="5"/>
  <c r="C160" i="1" a="1"/>
  <c r="C160" i="1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92" i="1" a="1"/>
  <c r="C192" i="1"/>
  <c r="C126" i="5"/>
  <c r="C35" i="1" a="1"/>
  <c r="C35" i="1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226" i="1" a="1"/>
  <c r="C226" i="1"/>
  <c r="C151" i="5"/>
  <c r="C152" i="5"/>
  <c r="C153" i="5"/>
  <c r="C154" i="5"/>
  <c r="C230" i="1" a="1"/>
  <c r="C230" i="1"/>
  <c r="C155" i="5"/>
  <c r="C156" i="5"/>
  <c r="C157" i="5"/>
  <c r="C233" i="1" a="1"/>
  <c r="C233" i="1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30" i="1" a="1"/>
  <c r="C30" i="1"/>
  <c r="C173" i="5"/>
  <c r="C41" i="1" a="1"/>
  <c r="C41" i="1"/>
  <c r="C174" i="5"/>
  <c r="C42" i="1" a="1"/>
  <c r="C42" i="1"/>
  <c r="C175" i="5"/>
  <c r="C47" i="1" a="1"/>
  <c r="C47" i="1"/>
  <c r="C176" i="5"/>
  <c r="C53" i="1" a="1"/>
  <c r="C53" i="1"/>
  <c r="C177" i="5"/>
  <c r="C178" i="5"/>
  <c r="C56" i="1" a="1"/>
  <c r="C56" i="1"/>
  <c r="C179" i="5"/>
  <c r="C180" i="5"/>
  <c r="C59" i="1" a="1"/>
  <c r="C59" i="1"/>
  <c r="C181" i="5"/>
  <c r="C64" i="1" a="1"/>
  <c r="C64" i="1"/>
  <c r="C182" i="5"/>
  <c r="C65" i="1" a="1"/>
  <c r="C65" i="1"/>
  <c r="C183" i="5"/>
  <c r="C184" i="5"/>
  <c r="C72" i="1" a="1"/>
  <c r="C72" i="1"/>
  <c r="C185" i="5"/>
  <c r="C75" i="1" a="1"/>
  <c r="C75" i="1"/>
  <c r="C186" i="5"/>
  <c r="C187" i="5"/>
  <c r="C79" i="1" a="1"/>
  <c r="C79" i="1"/>
  <c r="C188" i="5"/>
  <c r="C189" i="5"/>
  <c r="C81" i="1" a="1"/>
  <c r="C81" i="1"/>
  <c r="C190" i="5"/>
  <c r="C191" i="5"/>
  <c r="C192" i="5"/>
  <c r="C193" i="5"/>
  <c r="C194" i="5"/>
  <c r="C195" i="5"/>
  <c r="C90" i="1" a="1"/>
  <c r="C90" i="1"/>
  <c r="C196" i="5"/>
  <c r="C94" i="1" a="1"/>
  <c r="C94" i="1"/>
  <c r="C197" i="5"/>
  <c r="C198" i="5"/>
  <c r="C199" i="5"/>
  <c r="C200" i="5"/>
  <c r="C201" i="5"/>
  <c r="C202" i="5"/>
  <c r="C203" i="5"/>
  <c r="C114" i="1" a="1"/>
  <c r="C114" i="1"/>
  <c r="C204" i="5"/>
  <c r="C205" i="5"/>
  <c r="C117" i="1" a="1"/>
  <c r="C117" i="1"/>
  <c r="C206" i="5"/>
  <c r="C207" i="5"/>
  <c r="C208" i="5"/>
  <c r="C123" i="1" a="1"/>
  <c r="C123" i="1"/>
  <c r="C209" i="5"/>
  <c r="C124" i="1" a="1"/>
  <c r="C124" i="1"/>
  <c r="C210" i="5"/>
  <c r="C211" i="5"/>
  <c r="C212" i="5"/>
  <c r="C134" i="1" a="1"/>
  <c r="C134" i="1"/>
  <c r="C213" i="5"/>
  <c r="C214" i="5"/>
  <c r="C215" i="5"/>
  <c r="C139" i="1" a="1"/>
  <c r="C139" i="1"/>
  <c r="C216" i="5"/>
  <c r="C217" i="5"/>
  <c r="C218" i="5"/>
  <c r="C219" i="5"/>
  <c r="C220" i="5"/>
  <c r="C221" i="5"/>
  <c r="C222" i="5"/>
  <c r="C223" i="5"/>
  <c r="C224" i="5"/>
  <c r="C225" i="5"/>
  <c r="C226" i="5"/>
  <c r="C227" i="5"/>
  <c r="C169" i="1" a="1"/>
  <c r="C169" i="1"/>
  <c r="C228" i="5"/>
  <c r="C170" i="1" a="1"/>
  <c r="C170" i="1"/>
  <c r="C229" i="5"/>
  <c r="C230" i="5"/>
  <c r="C231" i="5"/>
  <c r="C232" i="5"/>
  <c r="C233" i="5"/>
  <c r="C234" i="5"/>
  <c r="C191" i="1" a="1"/>
  <c r="C191" i="1"/>
  <c r="C235" i="5"/>
  <c r="C236" i="5"/>
  <c r="C237" i="5"/>
  <c r="C238" i="5"/>
  <c r="C196" i="1" a="1"/>
  <c r="C196" i="1"/>
  <c r="C239" i="5"/>
  <c r="C201" i="1" a="1"/>
  <c r="C201" i="1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49" i="1" a="1"/>
  <c r="C249" i="1"/>
  <c r="C256" i="5"/>
  <c r="C257" i="5"/>
  <c r="C258" i="5"/>
  <c r="C259" i="5"/>
  <c r="C260" i="5"/>
  <c r="C262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6" i="5"/>
  <c r="C229" i="1" a="1"/>
  <c r="C229" i="1"/>
  <c r="C69" i="1" a="1"/>
  <c r="C69" i="1"/>
  <c r="C135" i="1" a="1"/>
  <c r="C135" i="1"/>
  <c r="C181" i="1" a="1"/>
  <c r="C181" i="1"/>
  <c r="C96" i="1" a="1"/>
  <c r="C96" i="1"/>
  <c r="C99" i="1" a="1"/>
  <c r="C99" i="1"/>
  <c r="C110" i="1" a="1"/>
  <c r="C110" i="1"/>
  <c r="C44" i="1" a="1"/>
  <c r="C44" i="1"/>
  <c r="C171" i="1" a="1"/>
  <c r="C171" i="1"/>
  <c r="C67" i="1" a="1"/>
  <c r="C67" i="1"/>
  <c r="C154" i="1" a="1"/>
  <c r="C154" i="1"/>
  <c r="C207" i="1" a="1"/>
  <c r="C207" i="1"/>
  <c r="C49" i="1" a="1"/>
  <c r="C49" i="1"/>
  <c r="C50" i="1" a="1"/>
  <c r="C50" i="1"/>
  <c r="C54" i="1" a="1"/>
  <c r="C54" i="1"/>
  <c r="C58" i="1" a="1"/>
  <c r="C58" i="1"/>
  <c r="C62" i="1" a="1"/>
  <c r="C62" i="1"/>
  <c r="C74" i="1" a="1"/>
  <c r="C74" i="1"/>
  <c r="C77" i="1" a="1"/>
  <c r="C77" i="1"/>
  <c r="C89" i="1" a="1"/>
  <c r="C89" i="1"/>
  <c r="C95" i="1" a="1"/>
  <c r="C95" i="1"/>
  <c r="C136" i="1" a="1"/>
  <c r="C136" i="1"/>
  <c r="C137" i="1" a="1"/>
  <c r="C137" i="1"/>
  <c r="C138" i="1" a="1"/>
  <c r="C138" i="1"/>
  <c r="C145" i="1" a="1"/>
  <c r="C145" i="1"/>
  <c r="C147" i="1" a="1"/>
  <c r="C147" i="1"/>
  <c r="C150" i="1" a="1"/>
  <c r="C150" i="1"/>
  <c r="C151" i="1" a="1"/>
  <c r="C151" i="1"/>
  <c r="C152" i="1" a="1"/>
  <c r="C152" i="1"/>
  <c r="C153" i="1" a="1"/>
  <c r="C153" i="1"/>
  <c r="C190" i="1" a="1"/>
  <c r="C190" i="1"/>
  <c r="C206" i="1" a="1"/>
  <c r="C206" i="1"/>
  <c r="C223" i="1" a="1"/>
  <c r="C223" i="1"/>
  <c r="C224" i="1" a="1"/>
  <c r="C224" i="1"/>
  <c r="C228" i="1" a="1"/>
  <c r="C228" i="1"/>
  <c r="C232" i="1" a="1"/>
  <c r="C232" i="1"/>
  <c r="C234" i="1" a="1"/>
  <c r="C234" i="1"/>
  <c r="C239" i="1" a="1"/>
  <c r="C239" i="1"/>
  <c r="C241" i="1" a="1"/>
  <c r="C241" i="1"/>
  <c r="C242" i="1" a="1"/>
  <c r="C242" i="1"/>
  <c r="C244" i="1" a="1"/>
  <c r="C244" i="1"/>
  <c r="C246" i="1" a="1"/>
  <c r="C246" i="1"/>
  <c r="C247" i="1" a="1"/>
  <c r="C247" i="1"/>
  <c r="C250" i="1" a="1"/>
  <c r="C250" i="1"/>
  <c r="C251" i="1" a="1"/>
  <c r="C251" i="1"/>
  <c r="C253" i="1" a="1"/>
  <c r="C253" i="1"/>
  <c r="C254" i="1" a="1"/>
  <c r="C254" i="1"/>
  <c r="C257" i="1" a="1"/>
  <c r="C257" i="1"/>
  <c r="C262" i="1" a="1"/>
  <c r="C26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6" i="1"/>
  <c r="H22" i="1"/>
  <c r="H23" i="1"/>
  <c r="H24" i="1"/>
  <c r="H25" i="1"/>
  <c r="H26" i="1"/>
  <c r="H27" i="1"/>
  <c r="H28" i="1"/>
  <c r="H31" i="1"/>
  <c r="H33" i="1"/>
  <c r="H44" i="1"/>
  <c r="H45" i="1"/>
  <c r="H46" i="1"/>
  <c r="H48" i="1"/>
  <c r="H49" i="1"/>
  <c r="H50" i="1"/>
  <c r="H51" i="1"/>
  <c r="H54" i="1"/>
  <c r="H58" i="1"/>
  <c r="H60" i="1"/>
  <c r="H61" i="1"/>
  <c r="H62" i="1"/>
  <c r="H63" i="1"/>
  <c r="H66" i="1"/>
  <c r="H67" i="1"/>
  <c r="H68" i="1"/>
  <c r="H69" i="1"/>
  <c r="H70" i="1"/>
  <c r="H71" i="1"/>
  <c r="H73" i="1"/>
  <c r="H74" i="1"/>
  <c r="H77" i="1"/>
  <c r="H82" i="1"/>
  <c r="H85" i="1"/>
  <c r="H88" i="1"/>
  <c r="H89" i="1"/>
  <c r="H91" i="1"/>
  <c r="H92" i="1"/>
  <c r="H93" i="1"/>
  <c r="H95" i="1"/>
  <c r="H96" i="1"/>
  <c r="H97" i="1"/>
  <c r="H99" i="1"/>
  <c r="H100" i="1"/>
  <c r="H101" i="1"/>
  <c r="H102" i="1"/>
  <c r="H103" i="1"/>
  <c r="H104" i="1"/>
  <c r="H105" i="1"/>
  <c r="H107" i="1"/>
  <c r="H108" i="1"/>
  <c r="H109" i="1"/>
  <c r="H110" i="1"/>
  <c r="H111" i="1"/>
  <c r="H113" i="1"/>
  <c r="H115" i="1"/>
  <c r="H116" i="1"/>
  <c r="H118" i="1"/>
  <c r="H119" i="1"/>
  <c r="H120" i="1"/>
  <c r="H122" i="1"/>
  <c r="H125" i="1"/>
  <c r="H126" i="1"/>
  <c r="H127" i="1"/>
  <c r="H128" i="1"/>
  <c r="H129" i="1"/>
  <c r="H130" i="1"/>
  <c r="H131" i="1"/>
  <c r="H132" i="1"/>
  <c r="H135" i="1"/>
  <c r="H136" i="1"/>
  <c r="H137" i="1"/>
  <c r="H138" i="1"/>
  <c r="H140" i="1"/>
  <c r="H141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1" i="1"/>
  <c r="H162" i="1"/>
  <c r="H163" i="1"/>
  <c r="H164" i="1"/>
  <c r="H165" i="1"/>
  <c r="H166" i="1"/>
  <c r="H167" i="1"/>
  <c r="H168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3" i="1"/>
  <c r="H194" i="1"/>
  <c r="H195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7" i="1"/>
  <c r="H228" i="1"/>
  <c r="H229" i="1"/>
  <c r="H231" i="1"/>
  <c r="H232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C25" i="1" a="1"/>
  <c r="C25" i="1"/>
  <c r="C26" i="1" a="1"/>
  <c r="C26" i="1"/>
  <c r="C27" i="1" a="1"/>
  <c r="C27" i="1"/>
  <c r="C28" i="1" a="1"/>
  <c r="C28" i="1"/>
  <c r="C31" i="1" a="1"/>
  <c r="C31" i="1"/>
  <c r="C33" i="1" a="1"/>
  <c r="C33" i="1"/>
  <c r="C45" i="1" a="1"/>
  <c r="C45" i="1"/>
  <c r="C46" i="1" a="1"/>
  <c r="C46" i="1"/>
  <c r="C48" i="1" a="1"/>
  <c r="C48" i="1"/>
  <c r="C51" i="1" a="1"/>
  <c r="C51" i="1"/>
  <c r="C60" i="1" a="1"/>
  <c r="C60" i="1"/>
  <c r="C61" i="1" a="1"/>
  <c r="C61" i="1"/>
  <c r="C63" i="1" a="1"/>
  <c r="C63" i="1"/>
  <c r="C66" i="1" a="1"/>
  <c r="C66" i="1"/>
  <c r="C68" i="1" a="1"/>
  <c r="C68" i="1"/>
  <c r="C70" i="1" a="1"/>
  <c r="C70" i="1"/>
  <c r="C71" i="1" a="1"/>
  <c r="C71" i="1"/>
  <c r="C73" i="1" a="1"/>
  <c r="C73" i="1"/>
  <c r="C82" i="1" a="1"/>
  <c r="C82" i="1"/>
  <c r="C85" i="1" a="1"/>
  <c r="C85" i="1"/>
  <c r="C88" i="1" a="1"/>
  <c r="C88" i="1"/>
  <c r="C91" i="1" a="1"/>
  <c r="C91" i="1"/>
  <c r="C92" i="1" a="1"/>
  <c r="C92" i="1"/>
  <c r="C93" i="1" a="1"/>
  <c r="C93" i="1"/>
  <c r="C97" i="1" a="1"/>
  <c r="C97" i="1"/>
  <c r="C100" i="1" a="1"/>
  <c r="C100" i="1"/>
  <c r="C101" i="1" a="1"/>
  <c r="C101" i="1"/>
  <c r="C102" i="1" a="1"/>
  <c r="C102" i="1"/>
  <c r="C103" i="1" a="1"/>
  <c r="C103" i="1"/>
  <c r="C104" i="1" a="1"/>
  <c r="C104" i="1"/>
  <c r="C105" i="1" a="1"/>
  <c r="C105" i="1"/>
  <c r="C107" i="1" a="1"/>
  <c r="C107" i="1"/>
  <c r="C108" i="1" a="1"/>
  <c r="C108" i="1"/>
  <c r="C109" i="1" a="1"/>
  <c r="C109" i="1"/>
  <c r="C111" i="1" a="1"/>
  <c r="C111" i="1"/>
  <c r="C113" i="1" a="1"/>
  <c r="C113" i="1"/>
  <c r="C115" i="1" a="1"/>
  <c r="C115" i="1"/>
  <c r="C116" i="1" a="1"/>
  <c r="C116" i="1"/>
  <c r="C118" i="1" a="1"/>
  <c r="C118" i="1"/>
  <c r="C119" i="1" a="1"/>
  <c r="C119" i="1"/>
  <c r="C120" i="1" a="1"/>
  <c r="C120" i="1"/>
  <c r="C122" i="1" a="1"/>
  <c r="C122" i="1"/>
  <c r="C125" i="1" a="1"/>
  <c r="C125" i="1"/>
  <c r="C126" i="1" a="1"/>
  <c r="C126" i="1"/>
  <c r="C127" i="1" a="1"/>
  <c r="C127" i="1"/>
  <c r="C128" i="1" a="1"/>
  <c r="C128" i="1"/>
  <c r="C129" i="1" a="1"/>
  <c r="C129" i="1"/>
  <c r="C130" i="1" a="1"/>
  <c r="C130" i="1"/>
  <c r="C131" i="1" a="1"/>
  <c r="C131" i="1"/>
  <c r="C132" i="1" a="1"/>
  <c r="C132" i="1"/>
  <c r="C140" i="1" a="1"/>
  <c r="C140" i="1"/>
  <c r="C141" i="1" a="1"/>
  <c r="C141" i="1"/>
  <c r="C143" i="1" a="1"/>
  <c r="C143" i="1"/>
  <c r="C144" i="1" a="1"/>
  <c r="C144" i="1"/>
  <c r="C146" i="1" a="1"/>
  <c r="C146" i="1"/>
  <c r="C148" i="1" a="1"/>
  <c r="C148" i="1"/>
  <c r="C149" i="1" a="1"/>
  <c r="C149" i="1"/>
  <c r="C155" i="1" a="1"/>
  <c r="C155" i="1"/>
  <c r="C156" i="1" a="1"/>
  <c r="C156" i="1"/>
  <c r="C157" i="1" a="1"/>
  <c r="C157" i="1"/>
  <c r="C158" i="1" a="1"/>
  <c r="C158" i="1"/>
  <c r="C161" i="1" a="1"/>
  <c r="C161" i="1"/>
  <c r="C162" i="1" a="1"/>
  <c r="C162" i="1"/>
  <c r="C163" i="1" a="1"/>
  <c r="C163" i="1"/>
  <c r="C164" i="1" a="1"/>
  <c r="C164" i="1"/>
  <c r="C165" i="1" a="1"/>
  <c r="C165" i="1"/>
  <c r="C166" i="1" a="1"/>
  <c r="C166" i="1"/>
  <c r="C167" i="1" a="1"/>
  <c r="C167" i="1"/>
  <c r="C168" i="1" a="1"/>
  <c r="C168" i="1"/>
  <c r="C172" i="1" a="1"/>
  <c r="C172" i="1"/>
  <c r="C173" i="1" a="1"/>
  <c r="C173" i="1"/>
  <c r="C174" i="1" a="1"/>
  <c r="C174" i="1"/>
  <c r="C175" i="1" a="1"/>
  <c r="C175" i="1"/>
  <c r="C176" i="1" a="1"/>
  <c r="C176" i="1"/>
  <c r="C177" i="1" a="1"/>
  <c r="C177" i="1"/>
  <c r="C178" i="1" a="1"/>
  <c r="C178" i="1"/>
  <c r="C179" i="1" a="1"/>
  <c r="C179" i="1"/>
  <c r="C180" i="1" a="1"/>
  <c r="C180" i="1"/>
  <c r="C182" i="1" a="1"/>
  <c r="C182" i="1"/>
  <c r="C183" i="1" a="1"/>
  <c r="C183" i="1"/>
  <c r="C184" i="1" a="1"/>
  <c r="C184" i="1"/>
  <c r="C185" i="1" a="1"/>
  <c r="C185" i="1"/>
  <c r="C186" i="1" a="1"/>
  <c r="C186" i="1"/>
  <c r="C187" i="1" a="1"/>
  <c r="C187" i="1"/>
  <c r="C188" i="1" a="1"/>
  <c r="C188" i="1"/>
  <c r="C189" i="1" a="1"/>
  <c r="C189" i="1"/>
  <c r="C193" i="1" a="1"/>
  <c r="C193" i="1"/>
  <c r="C194" i="1" a="1"/>
  <c r="C194" i="1"/>
  <c r="C195" i="1" a="1"/>
  <c r="C195" i="1"/>
  <c r="C197" i="1" a="1"/>
  <c r="C197" i="1"/>
  <c r="C198" i="1" a="1"/>
  <c r="C198" i="1"/>
  <c r="C199" i="1" a="1"/>
  <c r="C199" i="1"/>
  <c r="C200" i="1" a="1"/>
  <c r="C200" i="1"/>
  <c r="C202" i="1" a="1"/>
  <c r="C202" i="1"/>
  <c r="C203" i="1" a="1"/>
  <c r="C203" i="1"/>
  <c r="C204" i="1" a="1"/>
  <c r="C204" i="1"/>
  <c r="C205" i="1" a="1"/>
  <c r="C205" i="1"/>
  <c r="C208" i="1" a="1"/>
  <c r="C208" i="1"/>
  <c r="C209" i="1" a="1"/>
  <c r="C209" i="1"/>
  <c r="C210" i="1" a="1"/>
  <c r="C210" i="1"/>
  <c r="C211" i="1" a="1"/>
  <c r="C211" i="1"/>
  <c r="C212" i="1" a="1"/>
  <c r="C212" i="1"/>
  <c r="C213" i="1" a="1"/>
  <c r="C213" i="1"/>
  <c r="C214" i="1" a="1"/>
  <c r="C214" i="1"/>
  <c r="C215" i="1" a="1"/>
  <c r="C215" i="1"/>
  <c r="C216" i="1" a="1"/>
  <c r="C216" i="1"/>
  <c r="C217" i="1" a="1"/>
  <c r="C217" i="1"/>
  <c r="C218" i="1" a="1"/>
  <c r="C218" i="1"/>
  <c r="C219" i="1" a="1"/>
  <c r="C219" i="1"/>
  <c r="C220" i="1" a="1"/>
  <c r="C220" i="1"/>
  <c r="C221" i="1" a="1"/>
  <c r="C221" i="1"/>
  <c r="C222" i="1" a="1"/>
  <c r="C222" i="1"/>
  <c r="C225" i="1" a="1"/>
  <c r="C225" i="1"/>
  <c r="C227" i="1" a="1"/>
  <c r="C227" i="1"/>
  <c r="C231" i="1" a="1"/>
  <c r="C231" i="1"/>
  <c r="C235" i="1" a="1"/>
  <c r="C235" i="1"/>
  <c r="C236" i="1" a="1"/>
  <c r="C236" i="1"/>
  <c r="C237" i="1" a="1"/>
  <c r="C237" i="1"/>
  <c r="C238" i="1" a="1"/>
  <c r="C238" i="1"/>
  <c r="C240" i="1" a="1"/>
  <c r="C240" i="1"/>
  <c r="C243" i="1" a="1"/>
  <c r="C243" i="1"/>
  <c r="C245" i="1" a="1"/>
  <c r="C245" i="1"/>
  <c r="C248" i="1" a="1"/>
  <c r="C248" i="1"/>
  <c r="C252" i="1" a="1"/>
  <c r="C252" i="1"/>
  <c r="C255" i="1" a="1"/>
  <c r="C255" i="1"/>
  <c r="C256" i="1" a="1"/>
  <c r="C256" i="1"/>
  <c r="C258" i="1" a="1"/>
  <c r="C258" i="1"/>
  <c r="C259" i="1" a="1"/>
  <c r="C259" i="1"/>
  <c r="C260" i="1" a="1"/>
  <c r="C260" i="1"/>
  <c r="C261" i="1" a="1"/>
  <c r="C261" i="1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4" i="4"/>
  <c r="G172" i="4"/>
  <c r="G171" i="4"/>
  <c r="G170" i="4"/>
  <c r="G169" i="4"/>
  <c r="G168" i="4"/>
  <c r="G167" i="4"/>
  <c r="G165" i="4"/>
  <c r="G164" i="4"/>
  <c r="G163" i="4"/>
  <c r="G162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5" i="4"/>
  <c r="G123" i="4"/>
  <c r="G120" i="4"/>
  <c r="G119" i="4"/>
  <c r="G118" i="4"/>
  <c r="G117" i="4"/>
  <c r="G116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6" i="4"/>
  <c r="G4" i="4"/>
  <c r="G3" i="4"/>
  <c r="G2" i="4"/>
</calcChain>
</file>

<file path=xl/sharedStrings.xml><?xml version="1.0" encoding="utf-8"?>
<sst xmlns="http://schemas.openxmlformats.org/spreadsheetml/2006/main" count="2742" uniqueCount="445">
  <si>
    <t>CFDA</t>
  </si>
  <si>
    <t>Grant Name</t>
  </si>
  <si>
    <t>FY 2018 Total</t>
  </si>
  <si>
    <t>President Budget</t>
  </si>
  <si>
    <t>President $ Change</t>
  </si>
  <si>
    <t>House Budget</t>
  </si>
  <si>
    <t>House $ Change</t>
  </si>
  <si>
    <t>Select FPWA Member Organization</t>
  </si>
  <si>
    <t>Fed_Side Calculations</t>
  </si>
  <si>
    <t>FPWA_Side Calculations</t>
  </si>
  <si>
    <t>TopRow</t>
  </si>
  <si>
    <t>FPWA_TopRow</t>
  </si>
  <si>
    <t>NumRow</t>
  </si>
  <si>
    <t>FPWA_NumRow</t>
  </si>
  <si>
    <t>#</t>
  </si>
  <si>
    <t>Line</t>
  </si>
  <si>
    <t>Row</t>
  </si>
  <si>
    <t>MemberOrgs</t>
  </si>
  <si>
    <t>ABBOTT HOUSE</t>
  </si>
  <si>
    <t>AFRO-AMERICAN PARENTS EDUCATIONAL CENTER, INC</t>
  </si>
  <si>
    <t>AIDS SERVICE CENTER OF LOWER MANHATTAN INC DBA AIDS SERVICE CENTER NYC</t>
  </si>
  <si>
    <t>ARGUS COMMUNITY, INC</t>
  </si>
  <si>
    <t>BAILEY HOUSE, INC. &amp; BAILEY-HOLT HOUSE HDFC</t>
  </si>
  <si>
    <t>BRONXDALE TENANTS LEAGUE DCC, INC.</t>
  </si>
  <si>
    <t>BROOKLYN KINDERGARTEN SOCIETY</t>
  </si>
  <si>
    <t>CENTER FOR THE ELIMINATION OF VIOLENCE IN THE FAMILY, INC</t>
  </si>
  <si>
    <t>CHINESE-AMERICAN PLANNING COUNCIL</t>
  </si>
  <si>
    <t>CLIFFORD GLOVER DAY CARE CENTER, INC.</t>
  </si>
  <si>
    <t>COMMUNITY LIFE CENTER INC</t>
  </si>
  <si>
    <t>CYPRESS HILLS LOCAL DEVELOPMENT CORPORATION</t>
  </si>
  <si>
    <t>DAY CARE COUNCIL OF NEW YORK, INC.</t>
  </si>
  <si>
    <t>EAST SIDE HOUSE, INC.</t>
  </si>
  <si>
    <t>EDWIN GOULD SERVICES FOR CHILDREN AND FAMILIES</t>
  </si>
  <si>
    <t>EPISCOPAL SOCIAL SERVICES OF NEW YORK, INC.</t>
  </si>
  <si>
    <t>GODDARD RIVERSIDE COMMUNITY CENTER</t>
  </si>
  <si>
    <t>GREENHOPE SERVICES FOR WOMEN, INC.</t>
  </si>
  <si>
    <t>HAMILTON-MADISON HOUSE, INC.</t>
  </si>
  <si>
    <t>HARLEM COMMUNITY AIDS CENTER AND AFFILIATES, INC</t>
  </si>
  <si>
    <t>HENRY STREET SETTLEMENT AND AFFILIATES</t>
  </si>
  <si>
    <t>HIGHBRIDGE ADVISORY COUNCIL FAMILY SERVICES, INC</t>
  </si>
  <si>
    <t>HOUSING + SOLUTIONS, INC.</t>
  </si>
  <si>
    <t>HUDSON GUILD, INC</t>
  </si>
  <si>
    <t>JAMAICA SERVICE PROGRAM FOR OLDER ADULTS, INC</t>
  </si>
  <si>
    <t>JEWISH CHILD CARE ASSOCIATION</t>
  </si>
  <si>
    <t>LEAKE AND WATTS SERVICES, INC. AND AFFILIATE</t>
  </si>
  <si>
    <t>NATIONAL FEDERATION OF COMMUNITY DEVELOPMENT CREDIT UINIONS</t>
  </si>
  <si>
    <t>NORTHSIDE CENTER FOR CHILD DEVELOPMENT, INC.</t>
  </si>
  <si>
    <t>PARTNERSHIP WITH CHILDREN, INC</t>
  </si>
  <si>
    <t>PHIPPS COMMUNITY DEVELOPMENT CORPORATION</t>
  </si>
  <si>
    <t>PRESBYTERIAN SENIOR SERVICES</t>
  </si>
  <si>
    <t>RENA DAY CARE CENTER</t>
  </si>
  <si>
    <t>SCO FAMILY OF SERVICES</t>
  </si>
  <si>
    <t>SOUTHEAST BRONX NEIGHBORHOOD CENTERS, INC</t>
  </si>
  <si>
    <t>STANLEY M. ISAACS NEIGHBORHOOD CENTER, INC.</t>
  </si>
  <si>
    <t>THE CARTER BURDEN CENTER FOR THE AGING, INC.</t>
  </si>
  <si>
    <t>THE CHILDREN'S VILLAGE, INC. AND AFFILIATES</t>
  </si>
  <si>
    <t>THE FAMILY CENTER, INC.</t>
  </si>
  <si>
    <t>TREMONT MONTEREY DAY CARE CENTER INC.</t>
  </si>
  <si>
    <t>UNION SETTLEMENT ASSOCIATION, INC.</t>
  </si>
  <si>
    <t>UNIVERSITY SETTLEMENT SOCIETY OF NEW YORK, INC</t>
  </si>
  <si>
    <t>WOMEN'S PRISON ASSOCIATION AND HOME</t>
  </si>
  <si>
    <t>Category</t>
  </si>
  <si>
    <t>AUDITYEAR</t>
  </si>
  <si>
    <t>DBKEY</t>
  </si>
  <si>
    <t>Auditee Name</t>
  </si>
  <si>
    <t>Member Story</t>
  </si>
  <si>
    <t>FFT Name</t>
  </si>
  <si>
    <t>Total Amount</t>
  </si>
  <si>
    <t>FFT Analysis?</t>
  </si>
  <si>
    <t>FEDERALPROGRAMNAME</t>
  </si>
  <si>
    <t>AMOUNT</t>
  </si>
  <si>
    <t>2018-327</t>
  </si>
  <si>
    <t>No</t>
  </si>
  <si>
    <t>UNACCOMPANIED ALIEN CHILDREN PROGRAM</t>
  </si>
  <si>
    <t>Child and Adult Care Food Program (CACFP)</t>
  </si>
  <si>
    <t>Yes</t>
  </si>
  <si>
    <t>CHILD AND ADULT CARE FOOD PROGRAM</t>
  </si>
  <si>
    <t>Child Care and Development Block Grant (CCDBG)</t>
  </si>
  <si>
    <t>CHILD CARE AND DEVELOPMENT BLOCK GRANT</t>
  </si>
  <si>
    <t>AllYear3</t>
  </si>
  <si>
    <t>COORDINATED SERVICES AND ACCESS TO RESEARCH FOR WOMEN, INFANTS, CHILDREN, AND YOUTH</t>
  </si>
  <si>
    <t>SUBSTANCE ABUSE AND MENTAL HEALTH SERVICES_PROJECTS OF REGIONAL AND NATIONAL SIGNIFICANCE</t>
  </si>
  <si>
    <t>Temporary Assistance for Needy Families (TANF)</t>
  </si>
  <si>
    <t>TEMPORARY ASSISTANCE FOR NEEDY FAMILIES</t>
  </si>
  <si>
    <t>HIV EMERGENCY RELIEF PROJECT GRANTS</t>
  </si>
  <si>
    <t>HIV CARE FORMULA GRANTS</t>
  </si>
  <si>
    <t>HIV PREVENTION ACTIVITIES_NON-GOVERNMENTAL ORGANIZATION BASED</t>
  </si>
  <si>
    <t>Emergency Food and Shelter National Board Program (EFSP)</t>
  </si>
  <si>
    <t>EMERGENCY FOOD AND SHELTER NATIONAL BOARD PROGRAM</t>
  </si>
  <si>
    <t>2018-401</t>
  </si>
  <si>
    <t>Community Services Block Grant (CSBG)</t>
  </si>
  <si>
    <t>COMMUNITY SERVICES BLOCK GRANT</t>
  </si>
  <si>
    <t>BLOCK GRANTS FOR PREVENTION AND TREATMENT OF SUBSTANCE ABUSE</t>
  </si>
  <si>
    <t>AllYear1</t>
  </si>
  <si>
    <t>Housing Opportunities for Persons with AIDS (HOPWA)</t>
  </si>
  <si>
    <t>HOUSING OPPORTUNITIES FOR PERSONS WITH AIDS</t>
  </si>
  <si>
    <t>CONTINUUM OF CARE PROGRAM</t>
  </si>
  <si>
    <t>2018-612</t>
  </si>
  <si>
    <t>Head Start</t>
  </si>
  <si>
    <t>HEAD START</t>
  </si>
  <si>
    <t>CRIME VICTIM ASSISTANCE</t>
  </si>
  <si>
    <t>Social Services Block Grant (Title XX, SSBG)</t>
  </si>
  <si>
    <t>SOCIAL SERVICES BLOCK GRANT</t>
  </si>
  <si>
    <t>Supplemental Nutrition Assistance Program Employment and Training (SNAP E&amp;T)</t>
  </si>
  <si>
    <t>STATE ADM MATCHING GRANTS-NUTRITION ASST. PROGRAM</t>
  </si>
  <si>
    <t>Senior Community Service Employment Program (SCSEP)</t>
  </si>
  <si>
    <t>SENIOR COMMUNITY SERVICE EMPLOYMENT PROGRAM</t>
  </si>
  <si>
    <t>WIOA Youth Activities</t>
  </si>
  <si>
    <t>WIA YOUTH ACTIVITIES</t>
  </si>
  <si>
    <t xml:space="preserve">Supportive Services and Senior Centers (OAA, Title III, Part-B) </t>
  </si>
  <si>
    <t>SPECIAL PROGRAMS FOR THE AGING-TITLE III PART B</t>
  </si>
  <si>
    <t>Nutrition Services for the Aging (OAA, Title III, Part-C)</t>
  </si>
  <si>
    <t>SPECIAL PROGRAMS FOR THE AGING-TITLE III PART C</t>
  </si>
  <si>
    <t xml:space="preserve">Nutrition Services Incentive Program (NSIP) </t>
  </si>
  <si>
    <t>NUTRITION SERVICES INCENTIVE PROGRAM</t>
  </si>
  <si>
    <t>Medicare Improvement for Patients and Providers Act (MIPPA)</t>
  </si>
  <si>
    <t>MEDICARE ENROLLMENT ASSISTANCE PROGRAM</t>
  </si>
  <si>
    <t>AFFORDABLE CARE ACT</t>
  </si>
  <si>
    <t>PARTNERSHIPS TO IMPROVE COMMUNITY HEALTH</t>
  </si>
  <si>
    <t>Child Support Enforcement (CSE)</t>
  </si>
  <si>
    <t>CHILD SUPPORT ENFORCEMENT</t>
  </si>
  <si>
    <t>AGING RESEARCH</t>
  </si>
  <si>
    <t>Community Development Block Grants (CDBG)</t>
  </si>
  <si>
    <t>COMMUNITY DEVELOPMENT BLOCK GRANTS/ENTITLEMENT GRANTS</t>
  </si>
  <si>
    <t>SECTION 4 CAPACITY BUILDING FOR COMMUNITY DEVELOPMENT AND AFFORDABLE HOUSING</t>
  </si>
  <si>
    <t>ADULT EDUCATION - BASIC GRANTS TO STATES</t>
  </si>
  <si>
    <t>TRIO_TALENT SEARCH</t>
  </si>
  <si>
    <t>TWENTY-FIRST CENTURY COMMUNITY LEARNING CENTERS</t>
  </si>
  <si>
    <t>AMERICORPS</t>
  </si>
  <si>
    <t>STATE ADMINISTRATIVE MATCHING GRANTS FOR THE SUPPLEMENTAL NUTRITION ASSISTANCE PROGRAM</t>
  </si>
  <si>
    <t>TITLE I GRANTS TO LOCAL EDUCATIONAL AGENCIES</t>
  </si>
  <si>
    <t>SCHOOL IMPROVEMENT GRANTS</t>
  </si>
  <si>
    <t>SPECIAL PROGRAMS FOR THE AGING_TITLE III, PART B_GRANTS FOR SUPPORTI...</t>
  </si>
  <si>
    <t>TEENAGE PREGNANCY PREVENTION PROGRAM</t>
  </si>
  <si>
    <t>School Breakfast Program (SBP)</t>
  </si>
  <si>
    <t>SCHOOL BREAKFAST PROGRAM</t>
  </si>
  <si>
    <t>National School Lunch Program (School Lunch)</t>
  </si>
  <si>
    <t>NATIONAL SCHOOL LUNCH PROGRAM</t>
  </si>
  <si>
    <t>COMMUNITY DEVELOPMENT BLOCK GRANTS/STATE'S PROGRAM AND NON-ENTITLEMENT GRANTS IN HAWAII</t>
  </si>
  <si>
    <t>SUPPORTIVE HOUSING PROGRAM</t>
  </si>
  <si>
    <t>SPECIAL EDUCATION_GRANTS TO STATES</t>
  </si>
  <si>
    <t>SPECIAL EDUCATION_PRESCHOOL GRANTS</t>
  </si>
  <si>
    <t>CHILDREN'S HEALTH INSURANCE PROGRAM</t>
  </si>
  <si>
    <t>Health Insurance Information Counseling and Assistance Program (HIICAP)</t>
  </si>
  <si>
    <t>MEDICAL ASSISTANCE PROGRAM</t>
  </si>
  <si>
    <t>HEALTHY START INITIATIVE</t>
  </si>
  <si>
    <t>SOCIAL INNOVATION FUND</t>
  </si>
  <si>
    <t>2018-408</t>
  </si>
  <si>
    <t>SUPPORTED EMPLOYMENT SERVICES FOR INDIVIDUALS WITH THE MOST SIGNIFICANT DISABILITIES</t>
  </si>
  <si>
    <t>SPECIAL PROGRAMS FOR THE AGING_TITLE III, PART C_NUTRITION SERVICES</t>
  </si>
  <si>
    <t>21ST CENTURY CURES ACT - BEAU BIDEN CANCER MOONSHOT</t>
  </si>
  <si>
    <t>BLOCK GRANTS FOR COMMUNITY MENTAL HEALTH SERVICES</t>
  </si>
  <si>
    <t>AllYear2</t>
  </si>
  <si>
    <t>National Family Caregiver Support (OAA, Title III, Part-E)</t>
  </si>
  <si>
    <t>NATIONAL FAMILY CAREGIVER SUPPORT, TITLE III, PART E</t>
  </si>
  <si>
    <t>CONSOLIDATED HEALTH CENTERS (COMMUNITY HEALTH CENTERS, MIGRANT HEALTH CENTERS, HEALTH CARE FOR THE HOMELESS, AND PUBLIC HOUSING PRIMARY CARE)</t>
  </si>
  <si>
    <t>AFFORDABLE CARE ACT (ACA) GRANTS FOR NEW AND EXPANDED SERVICES UNDER THE HEALTH CENTER PROGRAM</t>
  </si>
  <si>
    <t>RYAN WHITE HIV/AIDS DENTAL REIMBURSEMENT AND COMMUNITY BASED DENTAL PARTNERSHIP GRANTS</t>
  </si>
  <si>
    <t>STATE ADMINISTRATIVE MATCHING GRANTS FOR THE SUPPLEMENTAL NUTRITION ...</t>
  </si>
  <si>
    <t>HOME INVESTMENT PARTNERSHIPS PROGRAM</t>
  </si>
  <si>
    <t>HURRICANE SANDY COMMUNITY DEVELOPMENT BLOCK GRANT DISASTER RECOVERY ...</t>
  </si>
  <si>
    <t>PROMOTION OF THE HUMANITIES_PUBLIC PROGRAMS</t>
  </si>
  <si>
    <t>FAMILY VIOLENCE PREVENTION AND SERVICES/DOMESTIC VIOLENCE SHELTER AN...</t>
  </si>
  <si>
    <t>SENIOR COMPANION PROGRAM</t>
  </si>
  <si>
    <t>SHELTER PLUS CARE</t>
  </si>
  <si>
    <t>Disease Prevention and Health Promotion Services (OAA, Title III-Part D)</t>
  </si>
  <si>
    <t>SPECIAL PROGRAMS FOR THE AGING_TITLE III, PART D_DISEASE PREVENTION AND HEALTH PROMOTION SERVICES</t>
  </si>
  <si>
    <t>SPECIAL PROGRAMS FOR THE AGING_TITLE III, PART B_GRANTS FOR SUPPORTIVE SERVICES AND SENIOR CENTERS</t>
  </si>
  <si>
    <t>REHABILITATION SERVICES_VOCATIONAL REHABILITATION GRANTS TO STATES</t>
  </si>
  <si>
    <t>IMMUNIZATION COOPERATIVE AGREEMENTS</t>
  </si>
  <si>
    <t>93.U01</t>
  </si>
  <si>
    <t>FAMILY RESOURCE CENTER</t>
  </si>
  <si>
    <t>COMMUNITY DEVELOPMENT FINANCIAL INSTITUTIONS PROGRAM</t>
  </si>
  <si>
    <t>EMERGENCY FOOD ASSISTANCE PROGRAM (FOOD COMMODITIES)</t>
  </si>
  <si>
    <t>Emergency Solutions Grant Program (ESG)</t>
  </si>
  <si>
    <t>EMERGENCY SOLUTIONS GRANT PROGRAM</t>
  </si>
  <si>
    <t>SPECIAL EDUCATION GRANTS TO STATES</t>
  </si>
  <si>
    <t>AFFORDABLE CARE ACT MATERNAL, INFANT, AND EARLY CHILDHOOD HOME VISITING PROGRAM</t>
  </si>
  <si>
    <t>MATERNAL, INFANT AND EARLY CHILDHOOD HOME VISITING GRANT PROGRAM</t>
  </si>
  <si>
    <t>BASIC CENTER GRANT</t>
  </si>
  <si>
    <t>MATERNAL AND CHILD HEALTH SERVICES BLOCK GRANT TO THE STATES</t>
  </si>
  <si>
    <t>COMMUNITY-BASED CHILD ABUSE PREVENTION GRANTS</t>
  </si>
  <si>
    <t>HURRICANE SANDY COMMUNITY DEVELOPMENT BLOCK GRANT DISASTER RECOVERY GRANTS (CDBG-DR)</t>
  </si>
  <si>
    <t>PROMOTION OF THE ARTS_GRANTS TO ORGANIZATIONS AND INDIVIDUALS</t>
  </si>
  <si>
    <t>Analyzed?</t>
  </si>
  <si>
    <t>beta.sam.gov name</t>
  </si>
  <si>
    <t>FY 2019</t>
  </si>
  <si>
    <t>President</t>
  </si>
  <si>
    <t>Latest House</t>
  </si>
  <si>
    <t>Latest Senate</t>
  </si>
  <si>
    <t>School Breakfast Program</t>
  </si>
  <si>
    <t>National School Lunch Program</t>
  </si>
  <si>
    <t>Emergency Food Assistance Program (Food Commodities)</t>
  </si>
  <si>
    <t>Community Development Block Grants/State's program and Non-Entitlement Grants in Hawaii</t>
  </si>
  <si>
    <t>Emergency Solutions Grant Program</t>
  </si>
  <si>
    <t>Supportive Housing Program</t>
  </si>
  <si>
    <t>Shelter Plus Care</t>
  </si>
  <si>
    <t>Home Investment Partnerships Program</t>
  </si>
  <si>
    <t>Section 4 Capacity Building for Community Development and Affordable Housing</t>
  </si>
  <si>
    <t xml:space="preserve">Continuum of Care Program </t>
  </si>
  <si>
    <t>Hurricane Sandy Community Development Block Grant Disaster Recovery Grants (CDBG-DR)</t>
  </si>
  <si>
    <t>Crime Victim Assistance</t>
  </si>
  <si>
    <t>Emergency Planning for Juvenile Justice Facilities</t>
  </si>
  <si>
    <t>Community Development Financial Institutions Program</t>
  </si>
  <si>
    <t>Promotion of the Arts Grants to Organizations and Individuals</t>
  </si>
  <si>
    <t>Promotion of the Humanities Public Programs</t>
  </si>
  <si>
    <t>Adult Education - Basic Grants to States</t>
  </si>
  <si>
    <t>Title I Grants to Local Educational Agencies</t>
  </si>
  <si>
    <t>Special Education Grants to States</t>
  </si>
  <si>
    <t>TRIO Talent Search</t>
  </si>
  <si>
    <t>Rehabilitation Services Vocational Rehabilitation Grants to States</t>
  </si>
  <si>
    <t>Special Education Preschool Grants</t>
  </si>
  <si>
    <t>Supported Employment Services for Individuals with the Most Significant Disabilities</t>
  </si>
  <si>
    <t>Twenty-First Century Community Learning Centers</t>
  </si>
  <si>
    <t>Enhance Safety of Children Affected by Substance Abuse</t>
  </si>
  <si>
    <t>Affordable Care Act (ACA) Personal Responsibility Education Program</t>
  </si>
  <si>
    <t>Coordinated Services and Access to Research for Women, Infants, Children, and Youth</t>
  </si>
  <si>
    <t>Health Center Program (Community Health Centers, Migrant Health Centers, Health Care for the Homeless, and Public Housing Primary Care)</t>
  </si>
  <si>
    <t>Substance Abuse and Mental Health Services Projects of Regional and National Significance</t>
  </si>
  <si>
    <t>Immunization Cooperative Agreements</t>
  </si>
  <si>
    <t>Teenage Pregnancy Prevention Program</t>
  </si>
  <si>
    <t>Partnerships to Improve Community Health</t>
  </si>
  <si>
    <t>21st Century Cures Act - Beau Biden Cancer Moonshot</t>
  </si>
  <si>
    <t>Affordable Care Act (ACA) Maternal, Infant, and Early Childhood Home Visiting Program</t>
  </si>
  <si>
    <t>Grants for New and Expanded Services under the Health Center Program</t>
  </si>
  <si>
    <t>Promoting Safe and Stable Families</t>
  </si>
  <si>
    <t>N/A</t>
  </si>
  <si>
    <t>Child Support Enforcement</t>
  </si>
  <si>
    <t>Refugee and Entrant Assistance Discretionary Grants</t>
  </si>
  <si>
    <t>Family Connection Grants</t>
  </si>
  <si>
    <t>Adoption Assistance</t>
  </si>
  <si>
    <t>Unaccompanied Alien Children Program</t>
  </si>
  <si>
    <t>Children's Health Insurance Program</t>
  </si>
  <si>
    <t>Aging Research</t>
  </si>
  <si>
    <t>Maternal, Infant and Early Childhood Home Visiting Grant Program</t>
  </si>
  <si>
    <t>HIV Emergency Relief Project Grants</t>
  </si>
  <si>
    <t>HIV Care Formula Grants</t>
  </si>
  <si>
    <t>Ryan White HIV/AIDS Dental Reimbursement and Community Based Dental Partnership Grants</t>
  </si>
  <si>
    <t>HIV Prevention Activities Non-Governmental Organization Based</t>
  </si>
  <si>
    <t>Block Grants for Community Mental Health Services</t>
  </si>
  <si>
    <t>Block Grants for Prevention and Treatment of Substance Abuse</t>
  </si>
  <si>
    <t>Maternal and Child Health Services Block Grant to the States</t>
  </si>
  <si>
    <t>AmeriCorps</t>
  </si>
  <si>
    <t>Senior Companion Program</t>
  </si>
  <si>
    <t>Social Innovation Fund</t>
  </si>
  <si>
    <t>Emergency Food and Shelter National Board Program</t>
  </si>
  <si>
    <t>93.C01</t>
  </si>
  <si>
    <t>93.CNR</t>
  </si>
  <si>
    <t>Desired Order</t>
  </si>
  <si>
    <t>Sort 1</t>
  </si>
  <si>
    <t>Sort 2</t>
  </si>
  <si>
    <t>Final Sort</t>
  </si>
  <si>
    <t>From</t>
  </si>
  <si>
    <t>To</t>
  </si>
  <si>
    <t>Row Number</t>
  </si>
  <si>
    <t>COUNT(IF('Final Product'!$A$5:$A$369&lt;&gt;0, 'Final Product'!$A$5:$A$369))</t>
  </si>
  <si>
    <t>INDEX('Final Product'!$E$5:$E$369, MATCH($L$3, 'Final Product'!$B$5:$B$369, 0)):INDEX('Final Product'!$E$5:$E$369, MATCH($L$4, 'Final Product'!$B$5:$B$369, 0))</t>
  </si>
  <si>
    <t>Row Labels</t>
  </si>
  <si>
    <t>Grand Total</t>
  </si>
  <si>
    <t xml:space="preserve">President Trump's FY 2020 Budget Would </t>
  </si>
  <si>
    <t xml:space="preserve"> Relies on by </t>
  </si>
  <si>
    <t xml:space="preserve"> the Federal Grants That </t>
  </si>
  <si>
    <t>Select Member Org</t>
  </si>
  <si>
    <t>IFERROR(INDEX($B$6:$B$262, MATCH(N6, $K$6:$K$262, 0)), "")</t>
  </si>
  <si>
    <t>House: % Change from 2019</t>
  </si>
  <si>
    <t>President: % Change from 2019</t>
  </si>
  <si>
    <t>FFIS Document</t>
  </si>
  <si>
    <t>6.11.19 Jim Martin Table</t>
  </si>
  <si>
    <t/>
  </si>
  <si>
    <t>6.6.19 Appropriations Update</t>
  </si>
  <si>
    <t>1/</t>
  </si>
  <si>
    <t>2/</t>
  </si>
  <si>
    <t>Teacher and School Leader Incentive Grants (formerly the Teacher Incentive Fund)</t>
  </si>
  <si>
    <t>Violence Against Women Formula Grants</t>
  </si>
  <si>
    <t>State Criminal Alien Assistance Program</t>
  </si>
  <si>
    <t>Hospital Preparedness Program (HPP) and Public Health Emergency Preparedness (PHEP) Aligned Cooperative Agreements</t>
  </si>
  <si>
    <t>Edward Byrne Memorial Justice Assistance Grant Program</t>
  </si>
  <si>
    <t>Emergency Management Performance Grants</t>
  </si>
  <si>
    <t>Housing Opportunities for Persons with AIDS</t>
  </si>
  <si>
    <t>Homeland Security Grant Program</t>
  </si>
  <si>
    <t>Community Services Block Grant</t>
  </si>
  <si>
    <t>English Language Acquisition State Grants</t>
  </si>
  <si>
    <t>WIOA Adult Program</t>
  </si>
  <si>
    <t>WIOA Dislocated Worker Formula Grants</t>
  </si>
  <si>
    <t>Career and Technical Education -- Basic Grants to States</t>
  </si>
  <si>
    <t>Impact Aid</t>
  </si>
  <si>
    <t>Social Services Block Grant</t>
  </si>
  <si>
    <t>Supporting Effective Instruction State Grants (formerly Improving Teacher Quality State Grants)</t>
  </si>
  <si>
    <t>Community Development Block Grants/Entitlement Grants</t>
  </si>
  <si>
    <t>Low-Income Home Energy Assistance</t>
  </si>
  <si>
    <t>State Administrative Matching Grants for the Supplemental Nutrition Assistance Program</t>
  </si>
  <si>
    <t>Foster Care Title IV-E</t>
  </si>
  <si>
    <t>Child Care and Development Block Grant</t>
  </si>
  <si>
    <t>Lower Income Housing Assistance Program Section 8 Moderate Rehabilitation</t>
  </si>
  <si>
    <t>Temporary Assistance for Needy Families</t>
  </si>
  <si>
    <t>Section 8 Housing Choice Vouchers</t>
  </si>
  <si>
    <t>Highway Planning and Construction</t>
  </si>
  <si>
    <t>Medical Assistance Program</t>
  </si>
  <si>
    <t>Emergency Medical Services for Children</t>
  </si>
  <si>
    <t>Special Programs for the Aging, Title III, Part D, Disease Prevention and Health Promotion Services</t>
  </si>
  <si>
    <t>Community Services Block Grant Discretionary Awards</t>
  </si>
  <si>
    <t>Community-Based Child Abuse Prevention Grants</t>
  </si>
  <si>
    <t>The Affordable Care Act: Building Epidemiology, Laboratory, and Health Information Systems Capacity in the Epidemiology and Laboratory Capacity for Infectious Disease (ELC) and Emerging Infections Program (EIP) Cooperative Agreements; PPHF</t>
  </si>
  <si>
    <t>Injury Prevention and Control Research and State and Community Based Programs</t>
  </si>
  <si>
    <t>Projects for Assistance in Transition from Homelessness (PATH)</t>
  </si>
  <si>
    <t>Basic Center Grant</t>
  </si>
  <si>
    <t>Healthy Start Initiative</t>
  </si>
  <si>
    <t>Project Grants and Cooperative Agreements for Tuberculosis Control Programs</t>
  </si>
  <si>
    <t>Sexually Transmitted Diseases (STD) Prevention and Control Grants</t>
  </si>
  <si>
    <t xml:space="preserve">Nutrition Services Incentive Program </t>
  </si>
  <si>
    <t xml:space="preserve">Family Violence Prevention and Services/Domestic Violence Shelter and Supportive Services </t>
  </si>
  <si>
    <t>National Family Caregiver Support, Title III, Part E</t>
  </si>
  <si>
    <t>Special Programs for the Aging, Title III, Part B, Grants for Supportive Services and Senior Centers</t>
  </si>
  <si>
    <t>HIV Prevention Activities Health Department Based</t>
  </si>
  <si>
    <t>Special Programs for the Aging, Title III, Part C, Nutrition Services</t>
  </si>
  <si>
    <t>Senior Community Service Employment Program</t>
  </si>
  <si>
    <t>Foster Grandparent Program</t>
  </si>
  <si>
    <t>Medicare Enrollment Assistance Program</t>
  </si>
  <si>
    <t>Centers for Medicare and Medicaid Services (CMS) Research, Demonstrations and Evaluations</t>
  </si>
  <si>
    <t>Child and Adult Care Food Program</t>
  </si>
  <si>
    <t>John H. Chafee Foster Care Program for Successful Transition to Adulthood</t>
  </si>
  <si>
    <t xml:space="preserve">Food Insecurity Nutrition Incentive Grants Program </t>
  </si>
  <si>
    <t>Summer Food Service Program for Children</t>
  </si>
  <si>
    <t>Supplemental Nutrition Assistance Program, Process and Technology Improvement Grants</t>
  </si>
  <si>
    <t>Cooperative Forestry Assistance</t>
  </si>
  <si>
    <t>Coastal Zone Management Administration Awards</t>
  </si>
  <si>
    <t>NOAA Programs for Disaster Relief Appropriations Act - Non-construction and Construction</t>
  </si>
  <si>
    <t>Procurement Technical Assistance For Business Firms</t>
  </si>
  <si>
    <t>Rent Supplements Rental Housing for Lower Income Families</t>
  </si>
  <si>
    <t>Section 8 Moderate Rehabilitation Single Room Occupancy</t>
  </si>
  <si>
    <t>National Disaster Resilience Competition</t>
  </si>
  <si>
    <t>Family Self-Sufficiency Program</t>
  </si>
  <si>
    <t>Lead Hazard Reduction Demonstration Grant Program</t>
  </si>
  <si>
    <t xml:space="preserve">Hurricane Sandy Disaster Relief – Coastal Resiliency Grants. </t>
  </si>
  <si>
    <t>North American Wetlands Conservation Fund</t>
  </si>
  <si>
    <t>Natural Resource Stewardship</t>
  </si>
  <si>
    <t>Cultural Resources Management</t>
  </si>
  <si>
    <t>Law Enforcement Assistance Narcotics and Dangerous Drugs Training</t>
  </si>
  <si>
    <t>Justice Systems Response to Families</t>
  </si>
  <si>
    <t>Community-Based Violence Prevention Program</t>
  </si>
  <si>
    <t>Law Enforcement Assistance National Crime Information Center</t>
  </si>
  <si>
    <t>Services for Trafficking Victims</t>
  </si>
  <si>
    <t>Enhanced Training and Services to End Violence and Abuse of Women Later in Life</t>
  </si>
  <si>
    <t xml:space="preserve">Education, Training, and Enhanced Services to End Violence Against and Abuse of Women with Disabilities </t>
  </si>
  <si>
    <t>Missing Children's Assistance</t>
  </si>
  <si>
    <t>Crime Victim Assistance/Discretionary Grants</t>
  </si>
  <si>
    <t>Grants to Encourage Arrest Policies and Enforcement of Protection Orders Program</t>
  </si>
  <si>
    <t xml:space="preserve">PREA Program: Strategic Support for PREA Implementation </t>
  </si>
  <si>
    <t>DNA Backlog Reduction Program</t>
  </si>
  <si>
    <t>Criminal and Juvenile Justice and Mental Health Collaboration Program</t>
  </si>
  <si>
    <t>Edward Byrne Memorial Competitive Grant Program</t>
  </si>
  <si>
    <t>Harold Rogers Prescription Drug Monitoring Program</t>
  </si>
  <si>
    <t>Second Chance Act Reentry Initiative</t>
  </si>
  <si>
    <t>Innovations in Community-Based Crime Reduction</t>
  </si>
  <si>
    <t>Smart Prosecution Initiative</t>
  </si>
  <si>
    <t>Justice Reinvestment Initiative</t>
  </si>
  <si>
    <t>Equitable Sharing Program</t>
  </si>
  <si>
    <t>Trade Adjustment Assistance</t>
  </si>
  <si>
    <t>WIOA National Dislocated Worker Grants / WIA National Emergency Grants</t>
  </si>
  <si>
    <t>Professional and Cultural Exchange Programs - Special Professional and Cultural Programs</t>
  </si>
  <si>
    <t>Cultural, Technical and Educational Centers</t>
  </si>
  <si>
    <t>Recreational Trails Program</t>
  </si>
  <si>
    <t xml:space="preserve">Metropolitan Transportation Planning and State and Non-Metropolitan Planning and Research </t>
  </si>
  <si>
    <t>Federal Transit Formula Grants</t>
  </si>
  <si>
    <t xml:space="preserve">Enhanced Mobility of Seniors and Individuals with Disabilities </t>
  </si>
  <si>
    <t>Job Access and Reverse Commute Program</t>
  </si>
  <si>
    <t>New Freedom Program</t>
  </si>
  <si>
    <t xml:space="preserve">Alternatives Analysis </t>
  </si>
  <si>
    <t>Public Transportation Emergency Relief Program</t>
  </si>
  <si>
    <t>State and Community Highway Safety</t>
  </si>
  <si>
    <t xml:space="preserve">National Infrastructure Investments </t>
  </si>
  <si>
    <t xml:space="preserve">Equitable  Sharing </t>
  </si>
  <si>
    <t>Promotion of the Humanities Division of Preservation and Access</t>
  </si>
  <si>
    <t>VA Homeless Providers Grant and Per Diem Program</t>
  </si>
  <si>
    <t>National Clean Diesel Emissions Reduction Program</t>
  </si>
  <si>
    <t xml:space="preserve">Long Island Sound Program </t>
  </si>
  <si>
    <t>Regional Wetland Program Development Grants</t>
  </si>
  <si>
    <t>Beach Monitoring and Notification Program Implementation Grants</t>
  </si>
  <si>
    <t>Brownfields Assessment and Cleanup Cooperative Agreements</t>
  </si>
  <si>
    <t>Migrant Education State Grant Program</t>
  </si>
  <si>
    <t>TRIO Student Support Services</t>
  </si>
  <si>
    <t>Magnet Schools Assistance</t>
  </si>
  <si>
    <t>Special Education-Grants for Infants and Families</t>
  </si>
  <si>
    <t>Education for Homeless Children and Youth</t>
  </si>
  <si>
    <t>Preschool Development Grants</t>
  </si>
  <si>
    <t>National Historical Publications and Records Grants</t>
  </si>
  <si>
    <t>Environmental Public Health and Emergency Response</t>
  </si>
  <si>
    <t>Birth Defects and Developmental Disabilities - Prevention and Surveillance</t>
  </si>
  <si>
    <t>Sodium Reduction in Communities</t>
  </si>
  <si>
    <t>Food and Drug Administration Research</t>
  </si>
  <si>
    <t>Acquired Immunodeficiency Syndrome (AIDS) Activity</t>
  </si>
  <si>
    <t>Mental Health Research Grants</t>
  </si>
  <si>
    <t>Occupational Safety and Health Program</t>
  </si>
  <si>
    <t>Viral Hepatitis Prevention and Control</t>
  </si>
  <si>
    <t>Drug Abuse and Addiction Research Programs</t>
  </si>
  <si>
    <t xml:space="preserve">Centers for Disease Control and Prevention Investigations and Technical Assistance </t>
  </si>
  <si>
    <t>CSELS Partnership: Strengthening Public Health Laboratories</t>
  </si>
  <si>
    <t>Epidemiology and Laboratory Capacity for Infectious Diseases (ELC)</t>
  </si>
  <si>
    <t xml:space="preserve">PPHF Capacity Building Assistance to Strengthen Public Health Immunization Infrastructure and Performance financed in part by Prevention and Public Health Funds </t>
  </si>
  <si>
    <t>Health Care Innovation Awards (HCIA)</t>
  </si>
  <si>
    <t>ACA - State Innovation Models:  Funding for Model Design and Model Testing Assistance</t>
  </si>
  <si>
    <t>ACA-Transforming Clinical Practice Initiative: Practice Transformation Networks (PTNs)</t>
  </si>
  <si>
    <t>Child Abuse and Neglect Discretionary Activities</t>
  </si>
  <si>
    <t xml:space="preserve">Capacity Building Assistance to Strengthen Public Health Immunization Infrastructure and Performance – financed in part by the Prevention and Public Health Fund (PPHF) </t>
  </si>
  <si>
    <t>Child Lead Poisoning Prevention Surveillance financed in part by Prevention and Public Health (PPHF) Program</t>
  </si>
  <si>
    <t>State and Local Public Health Actions to Prevent Obesity, Diabetes, Heart Disease and Stroke (PPHF)</t>
  </si>
  <si>
    <t xml:space="preserve">Domestic Ebola Supplement to the Epidemiology and Laboratory Capacity for Infectious Diseases (ELC). </t>
  </si>
  <si>
    <t>Hospital Preparedness Program (HPP) Ebola Preparedness and Response Activities</t>
  </si>
  <si>
    <t>Diabetes, Digestive, and Kidney Diseases Extramural Research</t>
  </si>
  <si>
    <t>Allergy and Infectious Diseases Research</t>
  </si>
  <si>
    <t>Special Projects of National Significance</t>
  </si>
  <si>
    <t>Human Immunodeficiency Virus (HIV)/Acquired Immunodeficiency Virus Syndrome (AIDS) Surveillance</t>
  </si>
  <si>
    <t>Cooperative Agreements to Support State-Based Safe Motherhood and Infant Health Initiative Programs</t>
  </si>
  <si>
    <t>Preventive Health and Health Services Block Grant</t>
  </si>
  <si>
    <t>Supplemental Security Income</t>
  </si>
  <si>
    <t>National Urban Search and Rescue (US&amp;R) Response System</t>
  </si>
  <si>
    <t>Disaster Grants - Public Assistance (Presidentially Declared Disasters)</t>
  </si>
  <si>
    <t>Hazard Mitigation Grant</t>
  </si>
  <si>
    <t>Assistance to Firefighters Grant</t>
  </si>
  <si>
    <t>Cooperating Technical Partners</t>
  </si>
  <si>
    <t>Pre-Disaster Mitigation</t>
  </si>
  <si>
    <t xml:space="preserve">Port Security Grant Program </t>
  </si>
  <si>
    <t>Rail and Transit Security Grant Program</t>
  </si>
  <si>
    <t>Homeland Security Biowatch Program</t>
  </si>
  <si>
    <t>Securing the Cities Program</t>
  </si>
  <si>
    <t xml:space="preserve">Homeland Security, Research, Testing, Evaluation, and Demonstration of Technologies </t>
  </si>
  <si>
    <t>Regional Catastrophic Preparedness Grant Program (RCPGP)</t>
  </si>
  <si>
    <t>Presidential Residence Protection Security Grant</t>
  </si>
  <si>
    <t>FY 2018 Actuals</t>
  </si>
  <si>
    <t>FedGrant</t>
  </si>
  <si>
    <t>Select Federal Grant</t>
  </si>
  <si>
    <t>Select Fed Grant</t>
  </si>
  <si>
    <t>President Cut/Increase</t>
  </si>
  <si>
    <t>House Cut/Increase</t>
  </si>
  <si>
    <t>Title</t>
  </si>
  <si>
    <t>Grant name</t>
  </si>
  <si>
    <t>President Budget $ Change</t>
  </si>
  <si>
    <t>Total President Budget $ Change</t>
  </si>
  <si>
    <t>FPWA Member Org. Total Federal Grants</t>
  </si>
  <si>
    <t>Total President Budget % Change</t>
  </si>
  <si>
    <t>Sum of President Budget $ Change</t>
  </si>
  <si>
    <t>IMPACT TABLE</t>
  </si>
  <si>
    <t>SUMMARY TABLE</t>
  </si>
  <si>
    <t>President Budget % Change</t>
  </si>
  <si>
    <t>To learn more about federal grants visit beta.sam.gov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</si>
</sst>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249977111117893"/>
      <name val="Calibri"/>
      <family val="2"/>
    </font>
    <font>
      <sz val="11"/>
      <color theme="1"/>
      <name val="Calibri Light"/>
      <family val="2"/>
      <scheme val="major"/>
    </font>
    <font>
      <sz val="11"/>
      <color theme="1"/>
      <name val="Open Sans"/>
      <family val="2"/>
    </font>
    <font>
      <sz val="14"/>
      <color theme="1"/>
      <name val="Open Sans"/>
      <family val="2"/>
    </font>
    <font>
      <sz val="12"/>
      <color theme="0"/>
      <name val="Open Sans"/>
      <family val="2"/>
    </font>
    <font>
      <sz val="14"/>
      <color theme="1"/>
      <name val="Calibri"/>
      <family val="2"/>
      <scheme val="minor"/>
    </font>
    <font>
      <b/>
      <sz val="16"/>
      <color theme="0"/>
      <name val="Open Sans"/>
      <family val="2"/>
    </font>
    <font>
      <sz val="12"/>
      <color theme="1"/>
      <name val="Open Sans"/>
      <family val="2"/>
    </font>
    <font>
      <sz val="16"/>
      <color theme="1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92D050"/>
      </left>
      <right style="thin">
        <color indexed="64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indexed="64"/>
      </right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3" borderId="0" xfId="0" applyFont="1" applyFill="1" applyBorder="1"/>
    <xf numFmtId="0" fontId="3" fillId="2" borderId="1" xfId="0" applyFont="1" applyFill="1" applyBorder="1"/>
    <xf numFmtId="0" fontId="0" fillId="2" borderId="2" xfId="0" applyFill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3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0" xfId="1" applyNumberFormat="1" applyFont="1"/>
    <xf numFmtId="0" fontId="4" fillId="0" borderId="0" xfId="0" applyFont="1" applyAlignment="1">
      <alignment horizontal="left"/>
    </xf>
    <xf numFmtId="0" fontId="5" fillId="0" borderId="0" xfId="0" applyFont="1" applyFill="1" applyBorder="1"/>
    <xf numFmtId="0" fontId="0" fillId="4" borderId="0" xfId="0" applyFont="1" applyFill="1" applyBorder="1" applyAlignment="1">
      <alignment horizontal="left"/>
    </xf>
    <xf numFmtId="164" fontId="5" fillId="0" borderId="0" xfId="1" applyNumberFormat="1" applyFont="1" applyFill="1"/>
    <xf numFmtId="9" fontId="5" fillId="0" borderId="0" xfId="2" applyFont="1" applyFill="1"/>
    <xf numFmtId="0" fontId="5" fillId="0" borderId="0" xfId="0" applyFont="1" applyFill="1"/>
    <xf numFmtId="0" fontId="0" fillId="0" borderId="0" xfId="0" applyAlignment="1">
      <alignment horizontal="left"/>
    </xf>
    <xf numFmtId="164" fontId="5" fillId="0" borderId="0" xfId="1" applyNumberFormat="1" applyFont="1" applyFill="1" applyBorder="1"/>
    <xf numFmtId="9" fontId="5" fillId="0" borderId="0" xfId="2" applyFont="1" applyFill="1" applyBorder="1"/>
    <xf numFmtId="0" fontId="0" fillId="0" borderId="0" xfId="0" applyFont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0" xfId="0" applyBorder="1"/>
    <xf numFmtId="0" fontId="0" fillId="0" borderId="0" xfId="0" applyNumberFormat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9" fontId="0" fillId="0" borderId="0" xfId="2" applyNumberFormat="1" applyFont="1" applyFill="1"/>
    <xf numFmtId="0" fontId="2" fillId="0" borderId="0" xfId="0" applyFont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pivotButton="1"/>
    <xf numFmtId="42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2" applyFont="1" applyFill="1"/>
    <xf numFmtId="0" fontId="0" fillId="0" borderId="13" xfId="0" applyFont="1" applyFill="1" applyBorder="1" applyAlignment="1">
      <alignment horizontal="left"/>
    </xf>
    <xf numFmtId="0" fontId="0" fillId="0" borderId="14" xfId="0" applyFont="1" applyFill="1" applyBorder="1"/>
    <xf numFmtId="0" fontId="8" fillId="0" borderId="12" xfId="0" applyFont="1" applyFill="1" applyBorder="1" applyAlignment="1">
      <alignment horizontal="center" vertical="center"/>
    </xf>
    <xf numFmtId="0" fontId="6" fillId="0" borderId="0" xfId="0" applyFont="1" applyFill="1"/>
    <xf numFmtId="164" fontId="6" fillId="0" borderId="0" xfId="1" applyNumberFormat="1" applyFont="1" applyFill="1"/>
    <xf numFmtId="9" fontId="6" fillId="0" borderId="0" xfId="2" applyNumberFormat="1" applyFont="1" applyFill="1"/>
    <xf numFmtId="164" fontId="6" fillId="0" borderId="0" xfId="0" applyNumberFormat="1" applyFont="1" applyFill="1"/>
    <xf numFmtId="9" fontId="6" fillId="0" borderId="0" xfId="2" applyFont="1" applyFill="1"/>
    <xf numFmtId="0" fontId="9" fillId="0" borderId="0" xfId="0" applyFont="1"/>
    <xf numFmtId="0" fontId="0" fillId="9" borderId="0" xfId="0" applyFill="1"/>
    <xf numFmtId="0" fontId="7" fillId="9" borderId="0" xfId="0" applyFont="1" applyFill="1"/>
    <xf numFmtId="0" fontId="3" fillId="9" borderId="0" xfId="0" applyFont="1" applyFill="1" applyBorder="1"/>
    <xf numFmtId="165" fontId="6" fillId="9" borderId="0" xfId="0" applyNumberFormat="1" applyFont="1" applyFill="1"/>
    <xf numFmtId="0" fontId="6" fillId="9" borderId="0" xfId="0" applyFont="1" applyFill="1"/>
    <xf numFmtId="164" fontId="6" fillId="9" borderId="0" xfId="1" applyNumberFormat="1" applyFont="1" applyFill="1"/>
    <xf numFmtId="9" fontId="6" fillId="9" borderId="0" xfId="2" applyFont="1" applyFill="1"/>
    <xf numFmtId="0" fontId="8" fillId="10" borderId="12" xfId="0" applyFont="1" applyFill="1" applyBorder="1" applyAlignment="1">
      <alignment horizontal="center" vertical="center"/>
    </xf>
    <xf numFmtId="165" fontId="11" fillId="9" borderId="0" xfId="0" applyNumberFormat="1" applyFont="1" applyFill="1"/>
    <xf numFmtId="0" fontId="11" fillId="9" borderId="0" xfId="0" applyFont="1" applyFill="1"/>
    <xf numFmtId="164" fontId="11" fillId="9" borderId="0" xfId="1" applyNumberFormat="1" applyFont="1" applyFill="1"/>
    <xf numFmtId="9" fontId="11" fillId="9" borderId="0" xfId="2" applyFont="1" applyFill="1"/>
    <xf numFmtId="0" fontId="11" fillId="0" borderId="15" xfId="0" applyFont="1" applyBorder="1" applyAlignment="1">
      <alignment horizontal="left"/>
    </xf>
    <xf numFmtId="164" fontId="11" fillId="0" borderId="16" xfId="1" applyNumberFormat="1" applyFont="1" applyBorder="1"/>
    <xf numFmtId="0" fontId="11" fillId="8" borderId="18" xfId="0" applyFont="1" applyFill="1" applyBorder="1" applyAlignment="1">
      <alignment horizontal="left"/>
    </xf>
    <xf numFmtId="164" fontId="11" fillId="8" borderId="17" xfId="1" applyNumberFormat="1" applyFont="1" applyFill="1" applyBorder="1"/>
    <xf numFmtId="0" fontId="11" fillId="0" borderId="18" xfId="0" applyFont="1" applyBorder="1" applyAlignment="1">
      <alignment horizontal="left"/>
    </xf>
    <xf numFmtId="9" fontId="11" fillId="0" borderId="17" xfId="2" applyFont="1" applyBorder="1"/>
    <xf numFmtId="0" fontId="0" fillId="7" borderId="1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9" fontId="5" fillId="0" borderId="0" xfId="2" applyNumberFormat="1" applyFont="1" applyFill="1" applyBorder="1"/>
    <xf numFmtId="0" fontId="0" fillId="6" borderId="0" xfId="0" applyFill="1" applyAlignment="1">
      <alignment horizontal="left"/>
    </xf>
    <xf numFmtId="0" fontId="10" fillId="11" borderId="0" xfId="0" applyFont="1" applyFill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2" fillId="12" borderId="20" xfId="0" applyFont="1" applyFill="1" applyBorder="1" applyAlignment="1">
      <alignment wrapText="1"/>
    </xf>
  </cellXfs>
  <cellStyles count="3">
    <cellStyle name="Currency" xfId="1" builtinId="4"/>
    <cellStyle name="Normal" xfId="0" builtinId="0"/>
    <cellStyle name="Percent" xfId="2" builtinId="5"/>
  </cellStyles>
  <dxfs count="53">
    <dxf>
      <fill>
        <patternFill>
          <bgColor theme="9" tint="0.79998168889431442"/>
        </patternFill>
      </fill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5" formatCode="0.0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DDDDDD"/>
      <color rgb="FFEAEAEA"/>
      <color rgb="FFFF797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Control!$S$3</c:f>
          <c:strCache>
            <c:ptCount val="1"/>
            <c:pt idx="0">
              <c:v>President Trump's FY 2020 Budget Would Cut the Federal Grants That CHINESE-AMERICAN PLANNING COUNCIL Relies on by -41.84% or (-$2,470,589)</c:v>
            </c:pt>
          </c:strCache>
        </c:strRef>
      </c:tx>
      <c:layout>
        <c:manualLayout>
          <c:xMode val="edge"/>
          <c:yMode val="edge"/>
          <c:x val="0.13588288668397122"/>
          <c:y val="4.3301517703261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31937184322564E-2"/>
          <c:y val="0.12596469089820789"/>
          <c:w val="0.79485525706345528"/>
          <c:h val="0.6832866297293908"/>
        </c:manualLayout>
      </c:layout>
      <c:barChart>
        <c:barDir val="col"/>
        <c:grouping val="clustered"/>
        <c:varyColors val="0"/>
        <c:ser>
          <c:idx val="0"/>
          <c:order val="0"/>
          <c:tx>
            <c:v>Trump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[0]!grantname</c:f>
              <c:strCache>
                <c:ptCount val="9"/>
                <c:pt idx="0">
                  <c:v>CHILD AND ADULT CARE FOOD PROGRAM</c:v>
                </c:pt>
                <c:pt idx="1">
                  <c:v>MEDICARE ENROLLMENT ASSISTANCE PROGRAM</c:v>
                </c:pt>
                <c:pt idx="2">
                  <c:v>NUTRITION SERVICES INCENTIVE PROGRAM</c:v>
                </c:pt>
                <c:pt idx="3">
                  <c:v>CHILD SUPPORT ENFORCEMENT</c:v>
                </c:pt>
                <c:pt idx="4">
                  <c:v>SPECIAL PROGRAMS FOR THE AGING-TITLE III PART B</c:v>
                </c:pt>
                <c:pt idx="5">
                  <c:v>SPECIAL PROGRAMS FOR THE AGING-TITLE III PART C</c:v>
                </c:pt>
                <c:pt idx="6">
                  <c:v>COMMUNITY SERVICES BLOCK GRANT</c:v>
                </c:pt>
                <c:pt idx="7">
                  <c:v>SOCIAL SERVICES BLOCK GRANT</c:v>
                </c:pt>
                <c:pt idx="8">
                  <c:v>SENIOR COMMUNITY SERVICE EMPLOYMENT PROGRAM</c:v>
                </c:pt>
              </c:strCache>
            </c:strRef>
          </c:cat>
          <c:val>
            <c:numRef>
              <c:f>[0]!cut</c:f>
              <c:numCache>
                <c:formatCode>_("$"* #,##0_);_("$"* \(#,##0\);_("$"* "-"??_);_(@_)</c:formatCode>
                <c:ptCount val="9"/>
                <c:pt idx="0">
                  <c:v>2428.8240000000001</c:v>
                </c:pt>
                <c:pt idx="1">
                  <c:v>599.80799999999999</c:v>
                </c:pt>
                <c:pt idx="2">
                  <c:v>-0.94937183339684772</c:v>
                </c:pt>
                <c:pt idx="3">
                  <c:v>-108.25714919086677</c:v>
                </c:pt>
                <c:pt idx="4">
                  <c:v>-1508.4739999999999</c:v>
                </c:pt>
                <c:pt idx="5">
                  <c:v>-4173.4659999999994</c:v>
                </c:pt>
                <c:pt idx="6">
                  <c:v>-260979</c:v>
                </c:pt>
                <c:pt idx="7">
                  <c:v>-369621</c:v>
                </c:pt>
                <c:pt idx="8">
                  <c:v>-1837226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5EC-4341-BADF-E4FFE5A6B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2775224"/>
        <c:axId val="365275104"/>
      </c:barChart>
      <c:catAx>
        <c:axId val="4127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sz="1200" b="0" i="1" baseline="0">
                    <a:effectLst/>
                  </a:rPr>
                  <a:t>FPWA Analysis of FFIS and FPWA FY18 audit data. Because audits run a year behind, our analysis examines FY20 proposals on an agency's FY18 federal grants.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8.3840249224740884E-2"/>
              <c:y val="0.95442142543111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365275104"/>
        <c:crosses val="autoZero"/>
        <c:auto val="1"/>
        <c:lblAlgn val="ctr"/>
        <c:lblOffset val="100"/>
        <c:noMultiLvlLbl val="0"/>
      </c:catAx>
      <c:valAx>
        <c:axId val="36527510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4127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098943514413642"/>
          <c:y val="0.35440214303109013"/>
          <c:w val="9.6743446627570506E-2"/>
          <c:h val="0.12479790026246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Control!$E$5</c:f>
          <c:strCache>
            <c:ptCount val="1"/>
            <c:pt idx="0">
              <c:v>President Trump's FY 2020 Budget Proposal would Increase Foster Care Title IV-E by  2.95% or, by $7,846,888
($ in thousands)</c:v>
            </c:pt>
          </c:strCache>
        </c:strRef>
      </c:tx>
      <c:layout>
        <c:manualLayout>
          <c:xMode val="edge"/>
          <c:yMode val="edge"/>
          <c:x val="0.14455003701874977"/>
          <c:y val="3.6471370931072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President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'Individual Grants'!$D$5</c:f>
              <c:strCache>
                <c:ptCount val="1"/>
                <c:pt idx="0">
                  <c:v>Foster Care Title IV-E</c:v>
                </c:pt>
              </c:strCache>
            </c:strRef>
          </c:cat>
          <c:val>
            <c:numRef>
              <c:f>'Individual Grants'!$G$5</c:f>
              <c:numCache>
                <c:formatCode>_("$"* #,##0_);_("$"* \(#,##0\);_("$"* "-"??_);_(@_)</c:formatCode>
                <c:ptCount val="1"/>
                <c:pt idx="0">
                  <c:v>7846888.4862223957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73F-45FD-9825-C31A4F25C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9218176"/>
        <c:axId val="50921784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House $ Change</c:v>
                </c:tx>
                <c:spPr>
                  <a:pattFill prst="pct90">
                    <a:fgClr>
                      <a:schemeClr val="accent1">
                        <a:lumMod val="75000"/>
                      </a:schemeClr>
                    </a:fgClr>
                    <a:bgClr>
                      <a:srgbClr val="FF7979"/>
                    </a:bgClr>
                  </a:pattFill>
                  <a:ln>
                    <a:noFill/>
                  </a:ln>
                  <a:effectLst/>
                </c:spPr>
                <c:invertIfNegative val="1"/>
                <c:dPt>
                  <c:idx val="0"/>
                  <c:invertIfNegative val="1"/>
                  <c:bubble3D val="0"/>
                  <c:spPr>
                    <a:pattFill prst="pct90">
                      <a:fgClr>
                        <a:schemeClr val="accent1">
                          <a:lumMod val="60000"/>
                          <a:lumOff val="40000"/>
                        </a:schemeClr>
                      </a:fgClr>
                      <a:bgClr>
                        <a:srgbClr val="FF7979"/>
                      </a:bgClr>
                    </a:patt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73F-45FD-9825-C31A4F25C83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Open Sans" panose="020B0606030504020204" pitchFamily="34" charset="0"/>
                          <a:ea typeface="Open Sans" panose="020B0606030504020204" pitchFamily="34" charset="0"/>
                          <a:cs typeface="Open Sans" panose="020B0606030504020204" pitchFamily="34" charset="0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'Individual Grants'!$D$5</c15:sqref>
                        </c15:formulaRef>
                      </c:ext>
                    </c:extLst>
                    <c:strCache>
                      <c:ptCount val="1"/>
                      <c:pt idx="0">
                        <c:v>Foster Care Title IV-E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'Individual Grants'!$I$5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7067396.2524916949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73F-45FD-9825-C31A4F25C83F}"/>
                  </c:ext>
                </c:extLst>
              </c15:ser>
            </c15:filteredBarSeries>
          </c:ext>
        </c:extLst>
      </c:barChart>
      <c:catAx>
        <c:axId val="5092181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FPWA Analysis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FFIS data and NYC Comptroller Data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27591290263327228"/>
              <c:y val="0.94743259736468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9217848"/>
        <c:crosses val="autoZero"/>
        <c:auto val="1"/>
        <c:lblAlgn val="ctr"/>
        <c:lblOffset val="100"/>
        <c:noMultiLvlLbl val="0"/>
      </c:catAx>
      <c:valAx>
        <c:axId val="50921784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092181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171450</xdr:rowOff>
        </xdr:from>
        <xdr:to>
          <xdr:col>5</xdr:col>
          <xdr:colOff>371475</xdr:colOff>
          <xdr:row>2</xdr:row>
          <xdr:rowOff>76200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1681164</xdr:colOff>
      <xdr:row>8</xdr:row>
      <xdr:rowOff>166689</xdr:rowOff>
    </xdr:from>
    <xdr:to>
      <xdr:col>25</xdr:col>
      <xdr:colOff>130969</xdr:colOff>
      <xdr:row>50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0.89601</cdr:x>
      <cdr:y>0.9244</cdr:y>
    </cdr:from>
    <cdr:to>
      <cdr:x>0.98509</cdr:x>
      <cdr:y>0.98818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EB22D00F-8BB9-4006-8938-C8B0DA053D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6249650" y="10248900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0</xdr:row>
          <xdr:rowOff>161925</xdr:rowOff>
        </xdr:from>
        <xdr:to>
          <xdr:col>6</xdr:col>
          <xdr:colOff>295275</xdr:colOff>
          <xdr:row>2</xdr:row>
          <xdr:rowOff>47625</xdr:rowOff>
        </xdr:to>
        <xdr:sp macro="" textlink="">
          <xdr:nvSpPr>
            <xdr:cNvPr id="7170" name="ComboBoxFedGran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827484</xdr:colOff>
      <xdr:row>8</xdr:row>
      <xdr:rowOff>110725</xdr:rowOff>
    </xdr:from>
    <xdr:to>
      <xdr:col>8</xdr:col>
      <xdr:colOff>1404937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0.82622</cdr:x>
      <cdr:y>0.85252</cdr:y>
    </cdr:from>
    <cdr:to>
      <cdr:x>0.99405</cdr:x>
      <cdr:y>0.98791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CA5D7C17-85B5-42A2-98F5-B98AD82E6D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53375" y="4452938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urav Gupta-Casale" refreshedDate="43636.430011921293" createdVersion="6" refreshedVersion="6" minRefreshableVersion="3" recordCount="257" xr:uid="{9244B30E-18F8-445E-9156-09BD10BA57FB}">
  <cacheSource type="worksheet">
    <worksheetSource name="Table7"/>
  </cacheSource>
  <cacheFields count="5">
    <cacheField name="CFDA" numFmtId="165">
      <sharedItems containsMixedTypes="1" containsNumber="1" minValue="10.558" maxValue="93.866"/>
    </cacheField>
    <cacheField name="Grant Name" numFmtId="0">
      <sharedItems count="74">
        <s v="CHILD AND ADULT CARE FOOD PROGRAM"/>
        <s v="MEDICARE ENROLLMENT ASSISTANCE PROGRAM"/>
        <s v="STATE ADM MATCHING GRANTS-NUTRITION ASST. PROGRAM"/>
        <s v="WIA YOUTH ACTIVITIES"/>
        <s v="CHILD CARE AND DEVELOPMENT BLOCK GRANT"/>
        <s v="NUTRITION SERVICES INCENTIVE PROGRAM"/>
        <s v="CHILD SUPPORT ENFORCEMENT"/>
        <s v="SPECIAL PROGRAMS FOR THE AGING-TITLE III PART B"/>
        <s v="SPECIAL PROGRAMS FOR THE AGING-TITLE III PART C"/>
        <s v="COMMUNITY SERVICES BLOCK GRANT"/>
        <s v="SOCIAL SERVICES BLOCK GRANT"/>
        <s v="SENIOR COMMUNITY SERVICE EMPLOYMENT PROGRAM"/>
        <s v="AFFORDABLE CARE ACT"/>
        <s v="PARTNERSHIPS TO IMPROVE COMMUNITY HEALTH"/>
        <s v="AGING RESEARCH"/>
        <s v=""/>
        <s v="TEMPORARY ASSISTANCE FOR NEEDY FAMILIES" u="1"/>
        <s v="SCHOOL BREAKFAST PROGRAM" u="1"/>
        <s v="MEDICAL ASSISTANCE PROGRAM" u="1"/>
        <s v="BLOCK GRANTS FOR COMMUNITY MENTAL HEALTH SERVICES" u="1"/>
        <s v="FAMILY VIOLENCE PREVENTION AND SERVICES/DOMESTIC VIOLENCE SHELTER AN..." u="1"/>
        <s v="SUBSTANCE ABUSE AND MENTAL HEALTH SERVICES_PROJECTS OF REGIONAL AND NATIONAL SIGNIFICANCE" u="1"/>
        <s v="HURRICANE SANDY COMMUNITY DEVELOPMENT BLOCK GRANT DISASTER RECOVERY GRANTS (CDBG-DR)" u="1"/>
        <s v="FAMILY RESOURCE CENTER" u="1"/>
        <s v="HIV PREVENTION ACTIVITIES_NON-GOVERNMENTAL ORGANIZATION BASED" u="1"/>
        <s v="TEENAGE PREGNANCY PREVENTION PROGRAM" u="1"/>
        <s v="PROMOTION OF THE HUMANITIES_PUBLIC PROGRAMS" u="1"/>
        <s v="RYAN WHITE HIV/AIDS DENTAL REIMBURSEMENT AND COMMUNITY BASED DENTAL PARTNERSHIP GRANTS" u="1"/>
        <s v="HEALTHY START INITIATIVE" u="1"/>
        <s v="SPECIAL EDUCATION_PRESCHOOL GRANTS" u="1"/>
        <s v="CONSOLIDATED HEALTH CENTERS (COMMUNITY HEALTH CENTERS, MIGRANT HEALTH CENTERS, HEALTH CARE FOR THE HOMELESS, AND PUBLIC HOUSING PRIMARY CARE)" u="1"/>
        <s v="UNACCOMPANIED ALIEN CHILDREN PROGRAM" u="1"/>
        <s v="TRIO_TALENT SEARCH" u="1"/>
        <s v="21ST CENTURY CURES ACT - BEAU BIDEN CANCER MOONSHOT" u="1"/>
        <s v="HURRICANE SANDY COMMUNITY DEVELOPMENT BLOCK GRANT DISASTER RECOVERY ..." u="1"/>
        <s v="SPECIAL PROGRAMS FOR THE AGING_TITLE III, PART B_GRANTS FOR SUPPORTIVE SERVICES AND SENIOR CENTERS" u="1"/>
        <s v="SOCIAL INNOVATION FUND" u="1"/>
        <s v="STATE ADMINISTRATIVE MATCHING GRANTS FOR THE SUPPLEMENTAL NUTRITION ASSISTANCE PROGRAM" u="1"/>
        <s v="COORDINATED SERVICES AND ACCESS TO RESEARCH FOR WOMEN, INFANTS, CHILDREN, AND YOUTH" u="1"/>
        <s v="SPECIAL PROGRAMS FOR THE AGING_TITLE III, PART B_GRANTS FOR SUPPORTI..." u="1"/>
        <s v="ADULT EDUCATION - BASIC GRANTS TO STATES" u="1"/>
        <s v="COMMUNITY DEVELOPMENT BLOCK GRANTS/STATE'S PROGRAM AND NON-ENTITLEMENT GRANTS IN HAWAII" u="1"/>
        <s v="HIV CARE FORMULA GRANTS" u="1"/>
        <s v="COMMUNITY-BASED CHILD ABUSE PREVENTION GRANTS" u="1"/>
        <s v="SPECIAL PROGRAMS FOR THE AGING_TITLE III, PART D_DISEASE PREVENTION AND HEALTH PROMOTION SERVICES" u="1"/>
        <s v="TITLE I GRANTS TO LOCAL EDUCATIONAL AGENCIES" u="1"/>
        <s v="PROMOTION OF THE ARTS_GRANTS TO ORGANIZATIONS AND INDIVIDUALS" u="1"/>
        <s v="AMERICORPS" u="1"/>
        <s v="SENIOR COMPANION PROGRAM" u="1"/>
        <s v="NATIONAL FAMILY CAREGIVER SUPPORT, TITLE III, PART E" u="1"/>
        <s v="CONTINUUM OF CARE PROGRAM" u="1"/>
        <s v="SUPPORTIVE HOUSING PROGRAM" u="1"/>
        <s v="STATE ADMINISTRATIVE MATCHING GRANTS FOR THE SUPPLEMENTAL NUTRITION ..." u="1"/>
        <s v="REHABILITATION SERVICES_VOCATIONAL REHABILITATION GRANTS TO STATES" u="1"/>
        <s v="SUPPORTED EMPLOYMENT SERVICES FOR INDIVIDUALS WITH THE MOST SIGNIFICANT DISABILITIES" u="1"/>
        <s v="SHELTER PLUS CARE" u="1"/>
        <s v="HIV EMERGENCY RELIEF PROJECT GRANTS" u="1"/>
        <s v="SPECIAL PROGRAMS FOR THE AGING_TITLE III, PART C_NUTRITION SERVICES" u="1"/>
        <s v="NATIONAL SCHOOL LUNCH PROGRAM" u="1"/>
        <s v="HEAD START" u="1"/>
        <s v="CRIME VICTIM ASSISTANCE" u="1"/>
        <s v="AFFORDABLE CARE ACT (ACA) GRANTS FOR NEW AND EXPANDED SERVICES UNDER THE HEALTH CENTER PROGRAM" u="1"/>
        <s v="HOUSING OPPORTUNITIES FOR PERSONS WITH AIDS" u="1"/>
        <s v="SCHOOL IMPROVEMENT GRANTS" u="1"/>
        <s v="EMERGENCY FOOD AND SHELTER NATIONAL BOARD PROGRAM" u="1"/>
        <s v="COMMUNITY DEVELOPMENT BLOCK GRANTS/ENTITLEMENT GRANTS" u="1"/>
        <s v="SECTION 4 CAPACITY BUILDING FOR COMMUNITY DEVELOPMENT AND AFFORDABLE HOUSING" u="1"/>
        <s v="BLOCK GRANTS FOR PREVENTION AND TREATMENT OF SUBSTANCE ABUSE" u="1"/>
        <s v="HOME INVESTMENT PARTNERSHIPS PROGRAM" u="1"/>
        <s v="SPECIAL EDUCATION_GRANTS TO STATES" u="1"/>
        <s v="IMMUNIZATION COOPERATIVE AGREEMENTS" u="1"/>
        <s v="TWENTY-FIRST CENTURY COMMUNITY LEARNING CENTERS" u="1"/>
        <s v="CHILDREN'S HEALTH INSURANCE PROGRAM" u="1"/>
        <s v="COMMUNITY DEVELOPMENT FINANCIAL INSTITUTIONS PROGRAM" u="1"/>
      </sharedItems>
    </cacheField>
    <cacheField name="FY 2018 Total" numFmtId="164">
      <sharedItems containsMixedTypes="1" containsNumber="1" containsInteger="1" minValue="2099" maxValue="1837226"/>
    </cacheField>
    <cacheField name="President Budget % Change" numFmtId="9">
      <sharedItems containsMixedTypes="1" containsNumber="1" minValue="-1" maxValue="6.6000000000000003E-2"/>
    </cacheField>
    <cacheField name="President Budget $ Change" numFmtId="164">
      <sharedItems containsMixedTypes="1" containsNumber="1" minValue="-1837226" maxValue="2428.824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0.558"/>
    <x v="0"/>
    <n v="404804"/>
    <n v="6.0000000000000001E-3"/>
    <n v="2428.8240000000001"/>
  </r>
  <r>
    <n v="93.070999999999998"/>
    <x v="1"/>
    <n v="9088"/>
    <n v="6.6000000000000003E-2"/>
    <n v="599.80799999999999"/>
  </r>
  <r>
    <n v="10.561"/>
    <x v="2"/>
    <n v="113124"/>
    <n v="0"/>
    <n v="0"/>
  </r>
  <r>
    <n v="17.259"/>
    <x v="3"/>
    <n v="398295"/>
    <n v="0"/>
    <n v="0"/>
  </r>
  <r>
    <n v="93.575000000000003"/>
    <x v="4"/>
    <n v="1749313"/>
    <n v="0"/>
    <n v="0"/>
  </r>
  <r>
    <n v="93.052999999999997"/>
    <x v="5"/>
    <n v="151965"/>
    <n v="-6.2473058493524672E-6"/>
    <n v="-0.94937183339684772"/>
  </r>
  <r>
    <n v="93.563000000000002"/>
    <x v="6"/>
    <n v="34882"/>
    <n v="-3.1035247173575703E-3"/>
    <n v="-108.25714919086677"/>
  </r>
  <r>
    <n v="93.043999999999997"/>
    <x v="7"/>
    <n v="68567"/>
    <n v="-2.1999999999999999E-2"/>
    <n v="-1508.4739999999999"/>
  </r>
  <r>
    <n v="93.045000000000002"/>
    <x v="8"/>
    <n v="189703"/>
    <n v="-2.1999999999999999E-2"/>
    <n v="-4173.4659999999994"/>
  </r>
  <r>
    <n v="93.569000000000003"/>
    <x v="9"/>
    <n v="260979"/>
    <n v="-1"/>
    <n v="-260979"/>
  </r>
  <r>
    <n v="93.667000000000002"/>
    <x v="10"/>
    <n v="369621"/>
    <n v="-1"/>
    <n v="-369621"/>
  </r>
  <r>
    <n v="17.234999999999999"/>
    <x v="11"/>
    <n v="1837226"/>
    <n v="-1"/>
    <n v="-1837226"/>
  </r>
  <r>
    <n v="93.091999999999999"/>
    <x v="12"/>
    <n v="312348"/>
    <s v=""/>
    <s v=""/>
  </r>
  <r>
    <n v="93.331000000000003"/>
    <x v="13"/>
    <n v="2099"/>
    <s v=""/>
    <s v=""/>
  </r>
  <r>
    <n v="93.866"/>
    <x v="14"/>
    <n v="3470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EA176-84A6-4F21-B3D9-B5BA0AD05973}" name="PivotTable1" cacheId="12" applyNumberFormats="0" applyBorderFormats="0" applyFontFormats="0" applyPatternFormats="0" applyAlignmentFormats="0" applyWidthHeightFormats="1" dataCaption="Values" updatedVersion="6" minRefreshableVersion="3" preserveFormatting="0" useAutoFormatting="1" itemPrintTitles="1" createdVersion="6" indent="0" outline="1" outlineData="1" multipleFieldFilters="0" chartFormat="3">
  <location ref="A3:B13" firstHeaderRow="1" firstDataRow="1" firstDataCol="1"/>
  <pivotFields count="5">
    <pivotField showAll="0"/>
    <pivotField axis="axisRow" showAll="0" measureFilter="1" sortType="descending">
      <items count="75">
        <item x="15"/>
        <item m="1" x="43"/>
        <item m="1" x="56"/>
        <item m="1" x="21"/>
        <item m="1" x="16"/>
        <item x="0"/>
        <item x="5"/>
        <item m="1" x="59"/>
        <item m="1" x="44"/>
        <item m="1" x="35"/>
        <item m="1" x="57"/>
        <item x="9"/>
        <item x="10"/>
        <item m="1" x="40"/>
        <item m="1" x="41"/>
        <item m="1" x="22"/>
        <item m="1" x="46"/>
        <item m="1" x="32"/>
        <item m="1" x="36"/>
        <item m="1" x="64"/>
        <item x="4"/>
        <item m="1" x="39"/>
        <item m="1" x="45"/>
        <item m="1" x="63"/>
        <item x="11"/>
        <item m="1" x="60"/>
        <item m="1" x="24"/>
        <item m="1" x="31"/>
        <item m="1" x="67"/>
        <item m="1" x="49"/>
        <item x="3"/>
        <item x="6"/>
        <item x="2"/>
        <item x="1"/>
        <item x="7"/>
        <item x="8"/>
        <item x="12"/>
        <item x="13"/>
        <item x="14"/>
        <item m="1" x="37"/>
        <item m="1" x="18"/>
        <item m="1" x="58"/>
        <item m="1" x="17"/>
        <item m="1" x="51"/>
        <item m="1" x="69"/>
        <item m="1" x="29"/>
        <item m="1" x="72"/>
        <item m="1" x="42"/>
        <item m="1" x="28"/>
        <item m="1" x="38"/>
        <item m="1" x="53"/>
        <item m="1" x="70"/>
        <item m="1" x="25"/>
        <item m="1" x="23"/>
        <item m="1" x="73"/>
        <item m="1" x="71"/>
        <item m="1" x="19"/>
        <item m="1" x="54"/>
        <item m="1" x="33"/>
        <item m="1" x="62"/>
        <item m="1" x="50"/>
        <item m="1" x="65"/>
        <item m="1" x="66"/>
        <item m="1" x="47"/>
        <item m="1" x="30"/>
        <item m="1" x="61"/>
        <item m="1" x="27"/>
        <item m="1" x="55"/>
        <item m="1" x="52"/>
        <item m="1" x="20"/>
        <item m="1" x="68"/>
        <item m="1" x="34"/>
        <item m="1" x="26"/>
        <item m="1" x="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1"/>
  </rowFields>
  <rowItems count="10">
    <i>
      <x v="5"/>
    </i>
    <i>
      <x v="33"/>
    </i>
    <i>
      <x v="6"/>
    </i>
    <i>
      <x v="31"/>
    </i>
    <i>
      <x v="34"/>
    </i>
    <i>
      <x v="35"/>
    </i>
    <i>
      <x v="11"/>
    </i>
    <i>
      <x v="12"/>
    </i>
    <i>
      <x v="24"/>
    </i>
    <i t="grand">
      <x/>
    </i>
  </rowItems>
  <colItems count="1">
    <i/>
  </colItems>
  <dataFields count="1">
    <dataField name="Sum of President Budget $ Change" fld="4" baseField="1" baseItem="0" numFmtId="42"/>
  </dataField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ED7546-821C-4B59-9197-304FDF57624C}" name="MemberOrg_Data" displayName="MemberOrg_Data" ref="A1:K258" totalsRowShown="0">
  <autoFilter ref="A1:K258" xr:uid="{54FB9BDD-CDB0-4766-A5D7-427296C2E44E}"/>
  <sortState ref="A2:K258">
    <sortCondition ref="D1:D258"/>
  </sortState>
  <tableColumns count="11">
    <tableColumn id="1" xr3:uid="{75835389-7FB5-4DEE-A42E-913DE88FEFCB}" name="Category"/>
    <tableColumn id="2" xr3:uid="{A625A903-4927-425E-AAFF-0A6763E2338E}" name="AUDITYEAR"/>
    <tableColumn id="3" xr3:uid="{CEEF0249-9D94-4049-A9D6-9BBB0D878255}" name="DBKEY"/>
    <tableColumn id="4" xr3:uid="{DCF0F84A-93C2-4B6A-AEFE-7CB2DD800F51}" name="Auditee Name"/>
    <tableColumn id="5" xr3:uid="{EC9A14C1-6D13-4DE6-8ADF-4FA205B6F03D}" name="Member Story"/>
    <tableColumn id="6" xr3:uid="{0B733835-9713-46C5-94E0-68621D69CBE5}" name="CFDA"/>
    <tableColumn id="7" xr3:uid="{3346B0F5-DC48-48BB-A6A9-843892DA5CDC}" name="FFT Name"/>
    <tableColumn id="10" xr3:uid="{477D33E7-BAB9-4099-80EC-C1653333CA60}" name="Total Amount" dataDxfId="52" dataCellStyle="Currency"/>
    <tableColumn id="8" xr3:uid="{25E85583-818B-450D-B0D9-4B02226987DF}" name="FFT Analysis?"/>
    <tableColumn id="14" xr3:uid="{1D6245CF-366D-472C-A239-49F28E4A35F9}" name="FEDERALPROGRAMNAME"/>
    <tableColumn id="15" xr3:uid="{0E67B5DE-69AA-4E5C-BEC1-DEEA32715CA5}" name="AM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B6325A-0EB5-42F2-8C7A-9E6772B1234E}" name="FedGrant_Data" displayName="FedGrant_Data" ref="B2:D68" totalsRowShown="0" headerRowDxfId="51">
  <autoFilter ref="B2:D68" xr:uid="{6FF8A6ED-0D85-4678-9FA3-717AA7BD01CC}"/>
  <sortState ref="B3:D68">
    <sortCondition ref="C2:C68"/>
  </sortState>
  <tableColumns count="3">
    <tableColumn id="1" xr3:uid="{37929EA0-856E-4A62-9BC9-7845F4B273C8}" name="CFDA" dataDxfId="50"/>
    <tableColumn id="2" xr3:uid="{888CFCFC-3008-47F8-B800-CAE1798D2F61}" name="Grant Name" dataDxfId="49"/>
    <tableColumn id="3" xr3:uid="{734583F9-3F34-408A-91E5-12A08A51A7CA}" name="FY 2018 Actuals" dataDxfId="48" dataCellStyle="Currency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BDCAD-4D61-4F17-81A8-CCD6B7DF9B3D}" name="BudgetApprop_Data" displayName="BudgetApprop_Data" ref="A1:J233" totalsRowShown="0" headerRowDxfId="47" dataDxfId="46">
  <autoFilter ref="A1:J233" xr:uid="{3E965578-1B54-45BF-98DF-DE7283C44CDB}"/>
  <sortState ref="A2:J233">
    <sortCondition ref="A1:A233"/>
  </sortState>
  <tableColumns count="10">
    <tableColumn id="1" xr3:uid="{E75B0C3C-3FC0-4C03-B271-835F5C667BFD}" name="CFDA" dataDxfId="45"/>
    <tableColumn id="2" xr3:uid="{E412AEEA-9B41-4CF3-BEB0-2D7A46611854}" name="Analyzed?"/>
    <tableColumn id="13" xr3:uid="{18E16E55-41A0-4879-BD07-6D9958258CDF}" name="FFIS Document"/>
    <tableColumn id="3" xr3:uid="{D21B1423-DE42-4084-A8DF-2B6E57A08D19}" name="beta.sam.gov name" dataDxfId="44"/>
    <tableColumn id="4" xr3:uid="{CCC1D548-503B-450A-83FB-BB94BD55E54B}" name="FY 2019" dataDxfId="43" dataCellStyle="Currency"/>
    <tableColumn id="5" xr3:uid="{03200540-C880-4363-B7EE-BA39AAE21D23}" name="President" dataDxfId="42" dataCellStyle="Currency"/>
    <tableColumn id="9" xr3:uid="{A0674FF8-FCD3-4726-BE99-0A3BEE77A2F6}" name="President: % Change from 2019" dataDxfId="41" dataCellStyle="Percent">
      <calculatedColumnFormula>(BudgetApprop_Data[[#This Row],[President]]-BudgetApprop_Data[[#This Row],[FY 2019]])/BudgetApprop_Data[[#This Row],[FY 2019]]</calculatedColumnFormula>
    </tableColumn>
    <tableColumn id="6" xr3:uid="{AE873DEB-58AD-4E1F-B54F-B7F6819047F5}" name="Latest House" dataDxfId="40" dataCellStyle="Currency"/>
    <tableColumn id="12" xr3:uid="{DD6347DB-2280-471E-BEA4-3EA8D9A58B35}" name="House: % Change from 2019" dataDxfId="39" dataCellStyle="Percent">
      <calculatedColumnFormula>(BudgetApprop_Data[[#This Row],[Latest House]]-BudgetApprop_Data[[#This Row],[FY 2019]])/BudgetApprop_Data[[#This Row],[FY 2019]]</calculatedColumnFormula>
    </tableColumn>
    <tableColumn id="7" xr3:uid="{5FE0651C-FBA4-4E02-AEBE-0650C072AA72}" name="Latest Senate" dataDxf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140B2-AC6D-488C-99C7-B8364E3E4D4E}" name="Control" displayName="Control" ref="D8:F406" totalsRowShown="0">
  <autoFilter ref="D8:F406" xr:uid="{48CB5E23-68F1-41F8-80A6-F1C2C596724D}"/>
  <tableColumns count="3">
    <tableColumn id="1" xr3:uid="{DE9832D8-1B68-4113-87A9-2F9D150B3EB3}" name="#"/>
    <tableColumn id="2" xr3:uid="{F9F049AB-46CF-424F-95CC-05A6F24DC8C9}" name="Line"/>
    <tableColumn id="3" xr3:uid="{13EBAD7D-9FDC-4077-8028-86BF2668F65E}" name="Row" dataDxfId="37">
      <calculatedColumnFormula>IF($D9&gt;NumRow, "",IFERROR(IF(SelectFedGrant="*",$D9, _xlfn.AGGREGATE(15,6,(1/(FedGrant_Data[Grant Name] = SelectFedGrant))*ROW(FedGrant_Data[Grant Name]), $D9)-TopRow), ""))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778FB9-76F3-490C-8A22-5AA988608FFA}" name="FPWA_Control" displayName="FPWA_Control" ref="M8:O265" totalsRowShown="0">
  <autoFilter ref="M8:O265" xr:uid="{AC11D680-90AA-4FB1-8129-D0D50AFC292D}"/>
  <tableColumns count="3">
    <tableColumn id="1" xr3:uid="{BD9E58DB-5882-4C86-9A3F-439312F0CB1B}" name="#"/>
    <tableColumn id="2" xr3:uid="{BF56A81C-3E7A-4788-91EC-DEF285814827}" name="Line"/>
    <tableColumn id="3" xr3:uid="{4A32479F-B25D-4052-A3DB-5C6314AA1277}" name="Row" dataDxfId="36">
      <calculatedColumnFormula>IF($M9 &gt; FPWA_NumRow, "", IFERROR(IF(SelectMemberOrg = "*", $M9, _xlfn.AGGREGATE(15, 6, (1/(MemberOrg_Data[Auditee Name] = SelectMemberOrg))*ROW(MemberOrg_Data[Auditee Name]), $M9)-FPWA_TopRow), ""))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9DFBC7-9E00-4870-99CE-A8FCF9BFA653}" name="FPWA_HelperTable" displayName="FPWA_HelperTable" ref="B5:K262" totalsRowShown="0" headerRowDxfId="35" dataDxfId="34">
  <autoFilter ref="B5:K262" xr:uid="{89D5F920-36F9-4755-A56A-FF6484F35603}"/>
  <tableColumns count="10">
    <tableColumn id="1" xr3:uid="{0E47A906-5B00-4372-89D6-7794934F9216}" name="CFDA" dataDxfId="33">
      <calculatedColumnFormula>IF(Control!$O9="","",INDEX(MemberOrg_Data[CFDA], Control!$O9))</calculatedColumnFormula>
    </tableColumn>
    <tableColumn id="2" xr3:uid="{D3F1A9CD-7DBD-4579-9591-148D31FFFE3C}" name="Grant Name" dataDxfId="32">
      <calculatedColumnFormula array="1">IFERROR(INDEX(MemberOrg_Data[FEDERALPROGRAMNAME], MATCH(1, (SelectMemberOrg = MemberOrg_Data[Auditee Name])*(B6 = MemberOrg_Data[CFDA]), 0)), "")</calculatedColumnFormula>
    </tableColumn>
    <tableColumn id="3" xr3:uid="{F602000B-419A-4870-B3CA-392A3AB7D2ED}" name="FY 2018 Total" dataDxfId="31" dataCellStyle="Currency">
      <calculatedColumnFormula>IFERROR(IF(B6 &lt;&gt; "", SUMIFS(MemberOrg_Data[Total Amount], MemberOrg_Data[Auditee Name], SelectMemberOrg, MemberOrg_Data[CFDA], B6), ""), "")</calculatedColumnFormula>
    </tableColumn>
    <tableColumn id="4" xr3:uid="{ED3CB9F9-2DAA-4EE2-8529-683743F5C775}" name="President Budget" dataDxfId="30" dataCellStyle="Percent">
      <calculatedColumnFormula>IFERROR(INDEX(BudgetApprop_Data[President: % Change from 2019], MATCH(B6, BudgetApprop_Data[CFDA], 0)), "")</calculatedColumnFormula>
    </tableColumn>
    <tableColumn id="5" xr3:uid="{628BF6B0-222A-4688-A238-7849CED658B5}" name="President $ Change" dataDxfId="29" dataCellStyle="Currency">
      <calculatedColumnFormula>IFERROR(IF(B6&lt;&gt;"", D6*E6, ""), "" )</calculatedColumnFormula>
    </tableColumn>
    <tableColumn id="6" xr3:uid="{9D413908-B87B-4480-A92B-63EE0434B7F3}" name="House Budget" dataDxfId="28" dataCellStyle="Percent">
      <calculatedColumnFormula>IFERROR(INDEX(BudgetApprop_Data[House: % Change from 2019], MATCH(FPWA_HelperTable[[#This Row],[CFDA]], BudgetApprop_Data[CFDA], 0)), "")</calculatedColumnFormula>
    </tableColumn>
    <tableColumn id="7" xr3:uid="{08BCD03E-71BE-47EC-BCDD-0EF7457AC2C9}" name="House $ Change" dataDxfId="27" dataCellStyle="Currency">
      <calculatedColumnFormula>IFERROR(IF(B6&lt;&gt; "", D6*G6, ""), "")</calculatedColumnFormula>
    </tableColumn>
    <tableColumn id="8" xr3:uid="{1A0E1C34-C973-4F3E-BAC7-F35E58AA39C4}" name="Sort 1" dataDxfId="26">
      <calculatedColumnFormula>IF(B6 = "", "", IF(FPWA_HelperTable[[#This Row],[President $ Change]]&lt;&gt;"", RANK(F6, $F$6:$F$262)+COUNTIF($F$6:F6, F6)-1, 0))</calculatedColumnFormula>
    </tableColumn>
    <tableColumn id="9" xr3:uid="{85684079-DBFF-44A2-8C43-F8547AD085F7}" name="Sort 2" dataDxfId="25">
      <calculatedColumnFormula>IFERROR((IF(I6= 0, COUNTIF($I$6:I6, 0), "")+MAX($I$6:$I$262)), "")</calculatedColumnFormula>
    </tableColumn>
    <tableColumn id="10" xr3:uid="{D7A8156A-4097-440A-B488-156308099659}" name="Final Sort" dataDxfId="24">
      <calculatedColumnFormula>IF(B6&lt;&gt; "", SUM(I6, J6),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37DE4E-208A-4DFB-8857-74CE1F2C4389}" name="DesiredOrd_FPWA" displayName="DesiredOrd_FPWA" ref="N5:O262" totalsRowShown="0">
  <autoFilter ref="N5:O262" xr:uid="{0F31F195-FDF5-4118-969B-5C655F43BC17}"/>
  <tableColumns count="2">
    <tableColumn id="1" xr3:uid="{7BC0C371-5191-4FC7-8820-3603F3E89B55}" name="Desired Order" dataDxfId="23" dataCellStyle="Currency"/>
    <tableColumn id="2" xr3:uid="{ACFC66E8-84D7-485E-BF48-A2840D5993F2}" name="CFDA" dataDxfId="22">
      <calculatedColumnFormula>IFERROR(INDEX($B$6:$B$262, MATCH(N6, $K$6:$K$262, 0)),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273EAF-45DD-49E9-B877-86873C40BE77}" name="Table10" displayName="Table10" ref="E3:F265" totalsRowShown="0">
  <autoFilter ref="E3:F265" xr:uid="{0BEC3E84-6229-40CA-913D-7ABC158B27B8}"/>
  <tableColumns count="2">
    <tableColumn id="1" xr3:uid="{52644C5C-56B6-41C0-A376-2D77F7BB62F5}" name="Grant name">
      <calculatedColumnFormula>IFERROR(INDEX(A4:A8, MATCH(F4, B4:B8, 0)), "")</calculatedColumnFormula>
    </tableColumn>
    <tableColumn id="2" xr3:uid="{8F387407-C539-491B-BCC3-8AA9C257F0AE}" name="President $ Change" dataDxfId="21" dataCellStyle="Currency">
      <calculatedColumnFormula>IFERROR(GETPIVOTDATA("Sum of President Budget $ Change", $A4, "Grant Name", A4), 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3BE89-7116-4D69-A295-65D911BEB43F}" name="Table7" displayName="Table7" ref="B5:F262" totalsRowShown="0" headerRowDxfId="20" dataDxfId="18" headerRowBorderDxfId="19">
  <tableColumns count="5">
    <tableColumn id="1" xr3:uid="{F6EEE662-00B1-4E4E-9A19-5FD13341F257}" name="CFDA" dataDxfId="17">
      <calculatedColumnFormula>IFERROR(INDEX(FPWA_HelperTable[CFDA], MATCH(DesiredOrd_FPWA[Desired Order], FPWA_HelperTable[Final Sort], 0)), "")</calculatedColumnFormula>
    </tableColumn>
    <tableColumn id="2" xr3:uid="{67AC1230-BD4A-4097-B6D8-AFE77E71E530}" name="Grant Name" dataDxfId="16">
      <calculatedColumnFormula>IFERROR(INDEX(FPWA_HelperTable[Grant Name], MATCH(B6, FPWA_HelperTable[CFDA], 0)), "")</calculatedColumnFormula>
    </tableColumn>
    <tableColumn id="3" xr3:uid="{CB49B6AC-A15C-4887-B4A5-3D39CE7EFC17}" name="FY 2018 Total" dataDxfId="15" dataCellStyle="Currency">
      <calculatedColumnFormula>IFERROR(INDEX(FPWA_HelperTable[FY 2018 Total], MATCH(B6, FPWA_HelperTable[CFDA], 0)), "")</calculatedColumnFormula>
    </tableColumn>
    <tableColumn id="4" xr3:uid="{64592AFA-5587-4502-9517-8682FA93D459}" name="President Budget % Change" dataDxfId="14" dataCellStyle="Percent">
      <calculatedColumnFormula>IFERROR(INDEX(FPWA_HelperTable[President Budget], MATCH(B6, FPWA_HelperTable[CFDA], 0)), "")</calculatedColumnFormula>
    </tableColumn>
    <tableColumn id="5" xr3:uid="{A215DD75-B3CD-4097-90E7-66A88AF45EA5}" name="President Budget $ Change" dataDxfId="13" dataCellStyle="Currency">
      <calculatedColumnFormula>IFERROR(INDEX(FPWA_HelperTable[President $ Change], MATCH(B6, FPWA_HelperTable[CFDA], 0)),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1227-9CEF-4D6A-8056-AC5B62CC7C12}" name="Table9" displayName="Table9" ref="C4:I5" totalsRowShown="0" headerRowDxfId="12" dataDxfId="10" headerRowBorderDxfId="11">
  <tableColumns count="7">
    <tableColumn id="1" xr3:uid="{38DC460A-8DF9-44E6-85D8-E27CFD68B053}" name="CFDA" dataDxfId="9">
      <calculatedColumnFormula>IF(Control!$F9 = "", "", INDEX(FedGrant_Data[CFDA], Control!$F9))</calculatedColumnFormula>
    </tableColumn>
    <tableColumn id="2" xr3:uid="{EB684246-2D6F-4E59-94B4-84691C5DEB2D}" name="Grant Name" dataDxfId="8">
      <calculatedColumnFormula>IFERROR(INDEX(FedGrant_Data[Grant Name], MATCH(C5, FedGrant_Data[CFDA], 0)), "")</calculatedColumnFormula>
    </tableColumn>
    <tableColumn id="3" xr3:uid="{47D9BD3A-122D-483B-A3A8-4AAB415327B7}" name="FY 2018 Total" dataDxfId="7" dataCellStyle="Currency">
      <calculatedColumnFormula>IFERROR(INDEX(FedGrant_Data[FY 2018 Actuals],MATCH(C5, FedGrant_Data[CFDA], 0)), "")</calculatedColumnFormula>
    </tableColumn>
    <tableColumn id="4" xr3:uid="{CA291AD6-98FC-4859-A956-5DEC10E6E12F}" name="President Budget" dataDxfId="6" dataCellStyle="Percent">
      <calculatedColumnFormula>IFERROR(INDEX(BudgetApprop_Data[President: % Change from 2019], MATCH(C5, BudgetApprop_Data[CFDA], 0)), "")</calculatedColumnFormula>
    </tableColumn>
    <tableColumn id="5" xr3:uid="{6E3972B1-64C6-4254-B1E7-251DC076BAAE}" name="President $ Change" dataDxfId="5">
      <calculatedColumnFormula>IFERROR(E5*F5, "No NYC FY 2018 Funding")</calculatedColumnFormula>
    </tableColumn>
    <tableColumn id="6" xr3:uid="{D5AA3A84-9A69-4BA5-9C99-70E46C52708A}" name="House Budget" dataDxfId="4" dataCellStyle="Percent">
      <calculatedColumnFormula>IFERROR(INDEX(BudgetApprop_Data[House: % Change from 2019], MATCH(C5, BudgetApprop_Data[CFDA], 0)), "")</calculatedColumnFormula>
    </tableColumn>
    <tableColumn id="7" xr3:uid="{505CA627-9655-48C1-8F70-8831D6B0D07F}" name="House $ Change" dataDxfId="3">
      <calculatedColumnFormula>IFERROR(E5*H5, "Not NYC FY 2018 Funding")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0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A99B-5907-4A99-80ED-8BC5B9F21D68}">
  <sheetPr codeName="Sheet1"/>
  <dimension ref="A1:K258"/>
  <sheetViews>
    <sheetView topLeftCell="H1" workbookViewId="0">
      <selection activeCell="E15" sqref="E15"/>
    </sheetView>
  </sheetViews>
  <sheetFormatPr defaultRowHeight="15" x14ac:dyDescent="0.25"/>
  <cols>
    <col min="4" max="4" width="74.7109375" bestFit="1" customWidth="1"/>
    <col min="7" max="7" width="75.42578125" bestFit="1" customWidth="1"/>
    <col min="8" max="8" width="15.28515625" bestFit="1" customWidth="1"/>
    <col min="10" max="10" width="151.85546875" bestFit="1" customWidth="1"/>
  </cols>
  <sheetData>
    <row r="1" spans="1:11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0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11" x14ac:dyDescent="0.25">
      <c r="A2" t="s">
        <v>71</v>
      </c>
      <c r="B2">
        <v>2018</v>
      </c>
      <c r="C2">
        <v>227595</v>
      </c>
      <c r="D2" t="s">
        <v>18</v>
      </c>
      <c r="E2" t="s">
        <v>72</v>
      </c>
      <c r="F2">
        <v>93.676000000000002</v>
      </c>
      <c r="G2" t="e">
        <v>#N/A</v>
      </c>
      <c r="H2" s="13">
        <v>4498661</v>
      </c>
      <c r="I2" t="s">
        <v>72</v>
      </c>
      <c r="J2" t="s">
        <v>73</v>
      </c>
      <c r="K2">
        <v>912264</v>
      </c>
    </row>
    <row r="3" spans="1:11" x14ac:dyDescent="0.25">
      <c r="A3" t="s">
        <v>71</v>
      </c>
      <c r="B3">
        <v>2018</v>
      </c>
      <c r="C3">
        <v>246500</v>
      </c>
      <c r="D3" t="s">
        <v>19</v>
      </c>
      <c r="E3" t="s">
        <v>72</v>
      </c>
      <c r="F3">
        <v>10.558</v>
      </c>
      <c r="G3" t="s">
        <v>74</v>
      </c>
      <c r="H3" s="13">
        <v>190455</v>
      </c>
      <c r="I3" t="s">
        <v>75</v>
      </c>
      <c r="J3" t="s">
        <v>76</v>
      </c>
      <c r="K3">
        <v>190455</v>
      </c>
    </row>
    <row r="4" spans="1:11" x14ac:dyDescent="0.25">
      <c r="A4" t="s">
        <v>71</v>
      </c>
      <c r="B4">
        <v>2018</v>
      </c>
      <c r="C4">
        <v>246500</v>
      </c>
      <c r="D4" t="s">
        <v>19</v>
      </c>
      <c r="E4" t="s">
        <v>72</v>
      </c>
      <c r="F4">
        <v>93.575000000000003</v>
      </c>
      <c r="G4" t="s">
        <v>77</v>
      </c>
      <c r="H4" s="13">
        <v>1789180</v>
      </c>
      <c r="I4" t="s">
        <v>75</v>
      </c>
      <c r="J4" t="s">
        <v>78</v>
      </c>
      <c r="K4">
        <v>1789180</v>
      </c>
    </row>
    <row r="5" spans="1:11" x14ac:dyDescent="0.25">
      <c r="A5" t="s">
        <v>79</v>
      </c>
      <c r="B5">
        <v>2018</v>
      </c>
      <c r="C5">
        <v>14193</v>
      </c>
      <c r="D5" t="s">
        <v>20</v>
      </c>
      <c r="E5" t="s">
        <v>72</v>
      </c>
      <c r="F5">
        <v>93.153000000000006</v>
      </c>
      <c r="G5" t="e">
        <v>#N/A</v>
      </c>
      <c r="H5" s="13">
        <v>4390</v>
      </c>
      <c r="I5" t="s">
        <v>72</v>
      </c>
      <c r="J5" t="s">
        <v>80</v>
      </c>
      <c r="K5">
        <v>4390</v>
      </c>
    </row>
    <row r="6" spans="1:11" x14ac:dyDescent="0.25">
      <c r="A6" t="s">
        <v>79</v>
      </c>
      <c r="B6">
        <v>2018</v>
      </c>
      <c r="C6">
        <v>14193</v>
      </c>
      <c r="D6" t="s">
        <v>20</v>
      </c>
      <c r="E6" t="s">
        <v>72</v>
      </c>
      <c r="F6">
        <v>93.242999999999995</v>
      </c>
      <c r="G6" t="e">
        <v>#N/A</v>
      </c>
      <c r="H6" s="13">
        <v>424101</v>
      </c>
      <c r="I6" t="s">
        <v>72</v>
      </c>
      <c r="J6" t="s">
        <v>81</v>
      </c>
      <c r="K6">
        <v>424101</v>
      </c>
    </row>
    <row r="7" spans="1:11" x14ac:dyDescent="0.25">
      <c r="A7" t="s">
        <v>79</v>
      </c>
      <c r="B7">
        <v>2018</v>
      </c>
      <c r="C7">
        <v>14193</v>
      </c>
      <c r="D7" t="s">
        <v>20</v>
      </c>
      <c r="E7" t="s">
        <v>72</v>
      </c>
      <c r="F7">
        <v>93.558000000000007</v>
      </c>
      <c r="G7" t="s">
        <v>82</v>
      </c>
      <c r="H7" s="13">
        <v>4950</v>
      </c>
      <c r="I7" t="s">
        <v>75</v>
      </c>
      <c r="J7" t="s">
        <v>83</v>
      </c>
      <c r="K7">
        <v>4950</v>
      </c>
    </row>
    <row r="8" spans="1:11" x14ac:dyDescent="0.25">
      <c r="A8" t="s">
        <v>79</v>
      </c>
      <c r="B8">
        <v>2018</v>
      </c>
      <c r="C8">
        <v>14193</v>
      </c>
      <c r="D8" t="s">
        <v>20</v>
      </c>
      <c r="E8" t="s">
        <v>72</v>
      </c>
      <c r="F8">
        <v>93.914000000000001</v>
      </c>
      <c r="G8" t="e">
        <v>#N/A</v>
      </c>
      <c r="H8" s="13">
        <v>3056699</v>
      </c>
      <c r="I8" t="s">
        <v>72</v>
      </c>
      <c r="J8" t="s">
        <v>84</v>
      </c>
      <c r="K8">
        <v>267057</v>
      </c>
    </row>
    <row r="9" spans="1:11" x14ac:dyDescent="0.25">
      <c r="A9" t="s">
        <v>79</v>
      </c>
      <c r="B9">
        <v>2018</v>
      </c>
      <c r="C9">
        <v>14193</v>
      </c>
      <c r="D9" t="s">
        <v>20</v>
      </c>
      <c r="E9" t="s">
        <v>72</v>
      </c>
      <c r="F9">
        <v>93.917000000000002</v>
      </c>
      <c r="G9" t="e">
        <v>#N/A</v>
      </c>
      <c r="H9" s="13">
        <v>390528</v>
      </c>
      <c r="I9" t="s">
        <v>72</v>
      </c>
      <c r="J9" t="s">
        <v>85</v>
      </c>
      <c r="K9">
        <v>148922</v>
      </c>
    </row>
    <row r="10" spans="1:11" x14ac:dyDescent="0.25">
      <c r="A10" t="s">
        <v>79</v>
      </c>
      <c r="B10">
        <v>2018</v>
      </c>
      <c r="C10">
        <v>14193</v>
      </c>
      <c r="D10" t="s">
        <v>20</v>
      </c>
      <c r="E10" t="s">
        <v>72</v>
      </c>
      <c r="F10">
        <v>93.938999999999993</v>
      </c>
      <c r="G10" t="e">
        <v>#N/A</v>
      </c>
      <c r="H10" s="13">
        <v>755796</v>
      </c>
      <c r="I10" t="s">
        <v>72</v>
      </c>
      <c r="J10" t="s">
        <v>86</v>
      </c>
      <c r="K10">
        <v>752594</v>
      </c>
    </row>
    <row r="11" spans="1:11" x14ac:dyDescent="0.25">
      <c r="A11" t="s">
        <v>79</v>
      </c>
      <c r="B11">
        <v>2018</v>
      </c>
      <c r="C11">
        <v>14193</v>
      </c>
      <c r="D11" t="s">
        <v>20</v>
      </c>
      <c r="E11" t="s">
        <v>72</v>
      </c>
      <c r="F11">
        <v>97.024000000000001</v>
      </c>
      <c r="G11" t="s">
        <v>87</v>
      </c>
      <c r="H11" s="13">
        <v>15220</v>
      </c>
      <c r="I11" t="s">
        <v>75</v>
      </c>
      <c r="J11" t="s">
        <v>88</v>
      </c>
      <c r="K11">
        <v>15220</v>
      </c>
    </row>
    <row r="12" spans="1:11" x14ac:dyDescent="0.25">
      <c r="A12" t="s">
        <v>89</v>
      </c>
      <c r="B12">
        <v>2018</v>
      </c>
      <c r="C12">
        <v>33619</v>
      </c>
      <c r="D12" t="s">
        <v>21</v>
      </c>
      <c r="E12" t="s">
        <v>72</v>
      </c>
      <c r="F12">
        <v>93.242999999999995</v>
      </c>
      <c r="G12" t="e">
        <v>#N/A</v>
      </c>
      <c r="H12" s="13">
        <v>151316</v>
      </c>
      <c r="I12" t="s">
        <v>72</v>
      </c>
      <c r="J12" t="s">
        <v>81</v>
      </c>
      <c r="K12">
        <v>151316</v>
      </c>
    </row>
    <row r="13" spans="1:11" x14ac:dyDescent="0.25">
      <c r="A13" t="s">
        <v>89</v>
      </c>
      <c r="B13">
        <v>2018</v>
      </c>
      <c r="C13">
        <v>33619</v>
      </c>
      <c r="D13" t="s">
        <v>21</v>
      </c>
      <c r="E13" t="s">
        <v>72</v>
      </c>
      <c r="F13">
        <v>93.569000000000003</v>
      </c>
      <c r="G13" t="s">
        <v>90</v>
      </c>
      <c r="H13" s="13">
        <v>154768</v>
      </c>
      <c r="I13" t="s">
        <v>75</v>
      </c>
      <c r="J13" t="s">
        <v>91</v>
      </c>
      <c r="K13">
        <v>21802</v>
      </c>
    </row>
    <row r="14" spans="1:11" x14ac:dyDescent="0.25">
      <c r="A14" t="s">
        <v>89</v>
      </c>
      <c r="B14">
        <v>2018</v>
      </c>
      <c r="C14">
        <v>33619</v>
      </c>
      <c r="D14" t="s">
        <v>21</v>
      </c>
      <c r="E14" t="s">
        <v>72</v>
      </c>
      <c r="F14">
        <v>93.914000000000001</v>
      </c>
      <c r="G14" t="e">
        <v>#N/A</v>
      </c>
      <c r="H14" s="13">
        <v>964593</v>
      </c>
      <c r="I14" t="s">
        <v>72</v>
      </c>
      <c r="J14" t="s">
        <v>84</v>
      </c>
      <c r="K14">
        <v>274398</v>
      </c>
    </row>
    <row r="15" spans="1:11" x14ac:dyDescent="0.25">
      <c r="A15" t="s">
        <v>89</v>
      </c>
      <c r="B15">
        <v>2018</v>
      </c>
      <c r="C15">
        <v>33619</v>
      </c>
      <c r="D15" t="s">
        <v>21</v>
      </c>
      <c r="E15" t="s">
        <v>72</v>
      </c>
      <c r="F15">
        <v>93.959000000000003</v>
      </c>
      <c r="G15" t="e">
        <v>#N/A</v>
      </c>
      <c r="H15" s="13">
        <v>1626035</v>
      </c>
      <c r="I15" t="s">
        <v>72</v>
      </c>
      <c r="J15" t="s">
        <v>92</v>
      </c>
      <c r="K15">
        <v>343364</v>
      </c>
    </row>
    <row r="16" spans="1:11" x14ac:dyDescent="0.25">
      <c r="A16" t="s">
        <v>93</v>
      </c>
      <c r="B16">
        <v>2018</v>
      </c>
      <c r="C16">
        <v>13108</v>
      </c>
      <c r="D16" t="s">
        <v>22</v>
      </c>
      <c r="E16" t="s">
        <v>72</v>
      </c>
      <c r="F16">
        <v>14.241</v>
      </c>
      <c r="G16" t="s">
        <v>94</v>
      </c>
      <c r="H16" s="13">
        <v>2388985</v>
      </c>
      <c r="I16" t="s">
        <v>75</v>
      </c>
      <c r="J16" t="s">
        <v>95</v>
      </c>
      <c r="K16">
        <v>1153309</v>
      </c>
    </row>
    <row r="17" spans="1:11" x14ac:dyDescent="0.25">
      <c r="A17" t="s">
        <v>93</v>
      </c>
      <c r="B17">
        <v>2018</v>
      </c>
      <c r="C17">
        <v>13108</v>
      </c>
      <c r="D17" t="s">
        <v>22</v>
      </c>
      <c r="E17" t="s">
        <v>72</v>
      </c>
      <c r="F17">
        <v>14.266999999999999</v>
      </c>
      <c r="G17" t="e">
        <v>#N/A</v>
      </c>
      <c r="H17" s="13">
        <v>3248748</v>
      </c>
      <c r="I17" t="s">
        <v>72</v>
      </c>
      <c r="J17" t="s">
        <v>96</v>
      </c>
      <c r="K17">
        <v>3248748</v>
      </c>
    </row>
    <row r="18" spans="1:11" x14ac:dyDescent="0.25">
      <c r="A18" t="s">
        <v>93</v>
      </c>
      <c r="B18">
        <v>2018</v>
      </c>
      <c r="C18">
        <v>13108</v>
      </c>
      <c r="D18" t="s">
        <v>22</v>
      </c>
      <c r="E18" t="s">
        <v>72</v>
      </c>
      <c r="F18">
        <v>93.242999999999995</v>
      </c>
      <c r="G18" t="e">
        <v>#N/A</v>
      </c>
      <c r="H18" s="13">
        <v>462138</v>
      </c>
      <c r="I18" t="s">
        <v>72</v>
      </c>
      <c r="J18" t="s">
        <v>81</v>
      </c>
      <c r="K18">
        <v>462138</v>
      </c>
    </row>
    <row r="19" spans="1:11" x14ac:dyDescent="0.25">
      <c r="A19" t="s">
        <v>93</v>
      </c>
      <c r="B19">
        <v>2018</v>
      </c>
      <c r="C19">
        <v>13108</v>
      </c>
      <c r="D19" t="s">
        <v>22</v>
      </c>
      <c r="E19" t="s">
        <v>72</v>
      </c>
      <c r="F19">
        <v>93.558000000000007</v>
      </c>
      <c r="G19" t="s">
        <v>82</v>
      </c>
      <c r="H19" s="13">
        <v>108152</v>
      </c>
      <c r="I19" t="s">
        <v>75</v>
      </c>
      <c r="J19" t="s">
        <v>83</v>
      </c>
      <c r="K19">
        <v>108152</v>
      </c>
    </row>
    <row r="20" spans="1:11" x14ac:dyDescent="0.25">
      <c r="A20" t="s">
        <v>93</v>
      </c>
      <c r="B20">
        <v>2018</v>
      </c>
      <c r="C20">
        <v>13108</v>
      </c>
      <c r="D20" t="s">
        <v>22</v>
      </c>
      <c r="E20" t="s">
        <v>72</v>
      </c>
      <c r="F20">
        <v>93.914000000000001</v>
      </c>
      <c r="G20" t="e">
        <v>#N/A</v>
      </c>
      <c r="H20" s="13">
        <v>2436568</v>
      </c>
      <c r="I20" t="s">
        <v>72</v>
      </c>
      <c r="J20" t="s">
        <v>84</v>
      </c>
      <c r="K20">
        <v>2436568</v>
      </c>
    </row>
    <row r="21" spans="1:11" x14ac:dyDescent="0.25">
      <c r="A21" t="s">
        <v>97</v>
      </c>
      <c r="B21">
        <v>2018</v>
      </c>
      <c r="C21">
        <v>11861</v>
      </c>
      <c r="D21" t="s">
        <v>23</v>
      </c>
      <c r="E21" t="s">
        <v>72</v>
      </c>
      <c r="F21">
        <v>10.558</v>
      </c>
      <c r="G21" t="s">
        <v>74</v>
      </c>
      <c r="H21" s="13">
        <v>774436</v>
      </c>
      <c r="I21" t="s">
        <v>75</v>
      </c>
      <c r="J21" t="s">
        <v>76</v>
      </c>
      <c r="K21">
        <v>124579</v>
      </c>
    </row>
    <row r="22" spans="1:11" x14ac:dyDescent="0.25">
      <c r="A22" t="s">
        <v>97</v>
      </c>
      <c r="B22">
        <v>2018</v>
      </c>
      <c r="C22">
        <v>11861</v>
      </c>
      <c r="D22" t="s">
        <v>23</v>
      </c>
      <c r="E22" t="s">
        <v>72</v>
      </c>
      <c r="F22">
        <v>93.575000000000003</v>
      </c>
      <c r="G22" t="s">
        <v>77</v>
      </c>
      <c r="H22" s="13">
        <v>622248</v>
      </c>
      <c r="I22" t="s">
        <v>75</v>
      </c>
      <c r="J22" t="s">
        <v>78</v>
      </c>
      <c r="K22">
        <v>622248</v>
      </c>
    </row>
    <row r="23" spans="1:11" x14ac:dyDescent="0.25">
      <c r="A23" t="s">
        <v>89</v>
      </c>
      <c r="B23">
        <v>2018</v>
      </c>
      <c r="C23">
        <v>8507</v>
      </c>
      <c r="D23" t="s">
        <v>24</v>
      </c>
      <c r="E23" t="s">
        <v>72</v>
      </c>
      <c r="F23">
        <v>10.558</v>
      </c>
      <c r="G23" t="s">
        <v>74</v>
      </c>
      <c r="H23" s="13">
        <v>268459</v>
      </c>
      <c r="I23" t="s">
        <v>75</v>
      </c>
      <c r="J23" t="s">
        <v>76</v>
      </c>
      <c r="K23">
        <v>268459</v>
      </c>
    </row>
    <row r="24" spans="1:11" x14ac:dyDescent="0.25">
      <c r="A24" t="s">
        <v>89</v>
      </c>
      <c r="B24">
        <v>2018</v>
      </c>
      <c r="C24">
        <v>8507</v>
      </c>
      <c r="D24" t="s">
        <v>24</v>
      </c>
      <c r="E24" t="s">
        <v>72</v>
      </c>
      <c r="F24">
        <v>93.575000000000003</v>
      </c>
      <c r="G24" t="s">
        <v>77</v>
      </c>
      <c r="H24" s="13">
        <v>1142177</v>
      </c>
      <c r="I24" t="s">
        <v>75</v>
      </c>
      <c r="J24" t="s">
        <v>78</v>
      </c>
      <c r="K24">
        <v>1142177</v>
      </c>
    </row>
    <row r="25" spans="1:11" x14ac:dyDescent="0.25">
      <c r="A25" t="s">
        <v>89</v>
      </c>
      <c r="B25">
        <v>2018</v>
      </c>
      <c r="C25">
        <v>8507</v>
      </c>
      <c r="D25" t="s">
        <v>24</v>
      </c>
      <c r="E25" t="s">
        <v>72</v>
      </c>
      <c r="F25">
        <v>93.6</v>
      </c>
      <c r="G25" t="s">
        <v>98</v>
      </c>
      <c r="H25" s="13">
        <v>1494641</v>
      </c>
      <c r="I25" t="s">
        <v>75</v>
      </c>
      <c r="J25" t="s">
        <v>99</v>
      </c>
      <c r="K25">
        <v>1494641</v>
      </c>
    </row>
    <row r="26" spans="1:11" x14ac:dyDescent="0.25">
      <c r="A26" t="s">
        <v>93</v>
      </c>
      <c r="B26">
        <v>2018</v>
      </c>
      <c r="C26">
        <v>193342</v>
      </c>
      <c r="D26" t="s">
        <v>25</v>
      </c>
      <c r="E26" t="s">
        <v>72</v>
      </c>
      <c r="F26">
        <v>16.574999999999999</v>
      </c>
      <c r="G26" t="e">
        <v>#N/A</v>
      </c>
      <c r="H26" s="13">
        <v>107312</v>
      </c>
      <c r="I26" t="s">
        <v>72</v>
      </c>
      <c r="J26" t="s">
        <v>100</v>
      </c>
      <c r="K26">
        <v>107312</v>
      </c>
    </row>
    <row r="27" spans="1:11" x14ac:dyDescent="0.25">
      <c r="A27" t="s">
        <v>93</v>
      </c>
      <c r="B27">
        <v>2018</v>
      </c>
      <c r="C27">
        <v>193342</v>
      </c>
      <c r="D27" t="s">
        <v>25</v>
      </c>
      <c r="E27" t="s">
        <v>72</v>
      </c>
      <c r="F27">
        <v>93.558000000000007</v>
      </c>
      <c r="G27" t="s">
        <v>82</v>
      </c>
      <c r="H27" s="13">
        <v>3530572</v>
      </c>
      <c r="I27" t="s">
        <v>75</v>
      </c>
      <c r="J27" t="s">
        <v>83</v>
      </c>
      <c r="K27">
        <v>3530572</v>
      </c>
    </row>
    <row r="28" spans="1:11" x14ac:dyDescent="0.25">
      <c r="A28" t="s">
        <v>93</v>
      </c>
      <c r="B28">
        <v>2018</v>
      </c>
      <c r="C28">
        <v>193342</v>
      </c>
      <c r="D28" t="s">
        <v>25</v>
      </c>
      <c r="E28" t="s">
        <v>72</v>
      </c>
      <c r="F28">
        <v>93.667000000000002</v>
      </c>
      <c r="G28" t="s">
        <v>101</v>
      </c>
      <c r="H28" s="13">
        <v>440779</v>
      </c>
      <c r="I28" t="s">
        <v>75</v>
      </c>
      <c r="J28" t="s">
        <v>102</v>
      </c>
      <c r="K28">
        <v>440779</v>
      </c>
    </row>
    <row r="29" spans="1:11" x14ac:dyDescent="0.25">
      <c r="A29" t="s">
        <v>71</v>
      </c>
      <c r="B29">
        <v>2018</v>
      </c>
      <c r="C29">
        <v>16544</v>
      </c>
      <c r="D29" t="s">
        <v>26</v>
      </c>
      <c r="E29" t="s">
        <v>75</v>
      </c>
      <c r="F29">
        <v>10.558</v>
      </c>
      <c r="G29" t="s">
        <v>74</v>
      </c>
      <c r="H29" s="13">
        <v>404804</v>
      </c>
      <c r="I29" t="s">
        <v>75</v>
      </c>
      <c r="J29" t="s">
        <v>76</v>
      </c>
      <c r="K29">
        <v>404804</v>
      </c>
    </row>
    <row r="30" spans="1:11" x14ac:dyDescent="0.25">
      <c r="A30" t="s">
        <v>71</v>
      </c>
      <c r="B30">
        <v>2018</v>
      </c>
      <c r="C30">
        <v>16544</v>
      </c>
      <c r="D30" t="s">
        <v>26</v>
      </c>
      <c r="E30" t="s">
        <v>75</v>
      </c>
      <c r="F30">
        <v>10.561</v>
      </c>
      <c r="G30" t="s">
        <v>103</v>
      </c>
      <c r="H30" s="13">
        <v>113124</v>
      </c>
      <c r="I30" t="s">
        <v>75</v>
      </c>
      <c r="J30" t="s">
        <v>104</v>
      </c>
      <c r="K30">
        <v>42420</v>
      </c>
    </row>
    <row r="31" spans="1:11" x14ac:dyDescent="0.25">
      <c r="A31" t="s">
        <v>71</v>
      </c>
      <c r="B31">
        <v>2018</v>
      </c>
      <c r="C31">
        <v>16544</v>
      </c>
      <c r="D31" t="s">
        <v>26</v>
      </c>
      <c r="E31" t="s">
        <v>75</v>
      </c>
      <c r="F31">
        <v>17.234999999999999</v>
      </c>
      <c r="G31" t="s">
        <v>105</v>
      </c>
      <c r="H31" s="13">
        <v>1837226</v>
      </c>
      <c r="I31" t="s">
        <v>75</v>
      </c>
      <c r="J31" t="s">
        <v>106</v>
      </c>
      <c r="K31">
        <v>1837226</v>
      </c>
    </row>
    <row r="32" spans="1:11" x14ac:dyDescent="0.25">
      <c r="A32" t="s">
        <v>71</v>
      </c>
      <c r="B32">
        <v>2018</v>
      </c>
      <c r="C32">
        <v>16544</v>
      </c>
      <c r="D32" t="s">
        <v>26</v>
      </c>
      <c r="E32" t="s">
        <v>75</v>
      </c>
      <c r="F32">
        <v>17.259</v>
      </c>
      <c r="G32" t="s">
        <v>107</v>
      </c>
      <c r="H32" s="13">
        <v>398295</v>
      </c>
      <c r="I32" t="s">
        <v>75</v>
      </c>
      <c r="J32" t="s">
        <v>108</v>
      </c>
      <c r="K32">
        <v>2500</v>
      </c>
    </row>
    <row r="33" spans="1:11" x14ac:dyDescent="0.25">
      <c r="A33" t="s">
        <v>71</v>
      </c>
      <c r="B33">
        <v>2018</v>
      </c>
      <c r="C33">
        <v>16544</v>
      </c>
      <c r="D33" t="s">
        <v>26</v>
      </c>
      <c r="E33" t="s">
        <v>75</v>
      </c>
      <c r="F33">
        <v>93.043999999999997</v>
      </c>
      <c r="G33" t="s">
        <v>109</v>
      </c>
      <c r="H33" s="13">
        <v>68567</v>
      </c>
      <c r="I33" t="s">
        <v>75</v>
      </c>
      <c r="J33" t="s">
        <v>110</v>
      </c>
      <c r="K33">
        <v>38777</v>
      </c>
    </row>
    <row r="34" spans="1:11" x14ac:dyDescent="0.25">
      <c r="A34" t="s">
        <v>71</v>
      </c>
      <c r="B34">
        <v>2018</v>
      </c>
      <c r="C34">
        <v>16544</v>
      </c>
      <c r="D34" t="s">
        <v>26</v>
      </c>
      <c r="E34" t="s">
        <v>75</v>
      </c>
      <c r="F34">
        <v>93.045000000000002</v>
      </c>
      <c r="G34" t="s">
        <v>111</v>
      </c>
      <c r="H34" s="13">
        <v>189703</v>
      </c>
      <c r="I34" t="s">
        <v>75</v>
      </c>
      <c r="J34" t="s">
        <v>112</v>
      </c>
      <c r="K34">
        <v>45676</v>
      </c>
    </row>
    <row r="35" spans="1:11" x14ac:dyDescent="0.25">
      <c r="A35" t="s">
        <v>71</v>
      </c>
      <c r="B35">
        <v>2018</v>
      </c>
      <c r="C35">
        <v>16544</v>
      </c>
      <c r="D35" t="s">
        <v>26</v>
      </c>
      <c r="E35" t="s">
        <v>75</v>
      </c>
      <c r="F35">
        <v>93.052999999999997</v>
      </c>
      <c r="G35" t="s">
        <v>113</v>
      </c>
      <c r="H35" s="13">
        <v>151965</v>
      </c>
      <c r="I35" t="s">
        <v>75</v>
      </c>
      <c r="J35" t="s">
        <v>114</v>
      </c>
      <c r="K35">
        <v>30220</v>
      </c>
    </row>
    <row r="36" spans="1:11" x14ac:dyDescent="0.25">
      <c r="A36" t="s">
        <v>71</v>
      </c>
      <c r="B36">
        <v>2018</v>
      </c>
      <c r="C36">
        <v>16544</v>
      </c>
      <c r="D36" t="s">
        <v>26</v>
      </c>
      <c r="E36" t="s">
        <v>75</v>
      </c>
      <c r="F36">
        <v>93.070999999999998</v>
      </c>
      <c r="G36" t="s">
        <v>115</v>
      </c>
      <c r="H36" s="13">
        <v>9088</v>
      </c>
      <c r="I36" t="s">
        <v>75</v>
      </c>
      <c r="J36" t="s">
        <v>116</v>
      </c>
      <c r="K36">
        <v>7500</v>
      </c>
    </row>
    <row r="37" spans="1:11" x14ac:dyDescent="0.25">
      <c r="A37" t="s">
        <v>71</v>
      </c>
      <c r="B37">
        <v>2018</v>
      </c>
      <c r="C37">
        <v>16544</v>
      </c>
      <c r="D37" t="s">
        <v>26</v>
      </c>
      <c r="E37" t="s">
        <v>75</v>
      </c>
      <c r="F37">
        <v>93.091999999999999</v>
      </c>
      <c r="G37" t="e">
        <v>#N/A</v>
      </c>
      <c r="H37" s="13">
        <v>312348</v>
      </c>
      <c r="I37" t="s">
        <v>72</v>
      </c>
      <c r="J37" t="s">
        <v>117</v>
      </c>
      <c r="K37">
        <v>312348</v>
      </c>
    </row>
    <row r="38" spans="1:11" x14ac:dyDescent="0.25">
      <c r="A38" t="s">
        <v>71</v>
      </c>
      <c r="B38">
        <v>2018</v>
      </c>
      <c r="C38">
        <v>16544</v>
      </c>
      <c r="D38" t="s">
        <v>26</v>
      </c>
      <c r="E38" t="s">
        <v>75</v>
      </c>
      <c r="F38">
        <v>93.331000000000003</v>
      </c>
      <c r="G38" t="e">
        <v>#N/A</v>
      </c>
      <c r="H38" s="13">
        <v>2099</v>
      </c>
      <c r="I38" t="s">
        <v>72</v>
      </c>
      <c r="J38" t="s">
        <v>118</v>
      </c>
      <c r="K38">
        <v>2099</v>
      </c>
    </row>
    <row r="39" spans="1:11" x14ac:dyDescent="0.25">
      <c r="A39" t="s">
        <v>71</v>
      </c>
      <c r="B39">
        <v>2018</v>
      </c>
      <c r="C39">
        <v>16544</v>
      </c>
      <c r="D39" t="s">
        <v>26</v>
      </c>
      <c r="E39" t="s">
        <v>75</v>
      </c>
      <c r="F39">
        <v>93.563000000000002</v>
      </c>
      <c r="G39" t="s">
        <v>119</v>
      </c>
      <c r="H39" s="13">
        <v>34882</v>
      </c>
      <c r="I39" t="s">
        <v>75</v>
      </c>
      <c r="J39" t="s">
        <v>120</v>
      </c>
      <c r="K39">
        <v>34882</v>
      </c>
    </row>
    <row r="40" spans="1:11" x14ac:dyDescent="0.25">
      <c r="A40" t="s">
        <v>71</v>
      </c>
      <c r="B40">
        <v>2018</v>
      </c>
      <c r="C40">
        <v>16544</v>
      </c>
      <c r="D40" t="s">
        <v>26</v>
      </c>
      <c r="E40" t="s">
        <v>75</v>
      </c>
      <c r="F40">
        <v>93.569000000000003</v>
      </c>
      <c r="G40" t="s">
        <v>90</v>
      </c>
      <c r="H40" s="13">
        <v>260979</v>
      </c>
      <c r="I40" t="s">
        <v>75</v>
      </c>
      <c r="J40" t="s">
        <v>91</v>
      </c>
      <c r="K40">
        <v>6104</v>
      </c>
    </row>
    <row r="41" spans="1:11" x14ac:dyDescent="0.25">
      <c r="A41" t="s">
        <v>71</v>
      </c>
      <c r="B41">
        <v>2018</v>
      </c>
      <c r="C41">
        <v>16544</v>
      </c>
      <c r="D41" t="s">
        <v>26</v>
      </c>
      <c r="E41" t="s">
        <v>75</v>
      </c>
      <c r="F41">
        <v>93.575000000000003</v>
      </c>
      <c r="G41" t="s">
        <v>77</v>
      </c>
      <c r="H41" s="13">
        <v>1749313</v>
      </c>
      <c r="I41" t="s">
        <v>75</v>
      </c>
      <c r="J41" t="s">
        <v>78</v>
      </c>
      <c r="K41">
        <v>1685147</v>
      </c>
    </row>
    <row r="42" spans="1:11" x14ac:dyDescent="0.25">
      <c r="A42" t="s">
        <v>71</v>
      </c>
      <c r="B42">
        <v>2018</v>
      </c>
      <c r="C42">
        <v>16544</v>
      </c>
      <c r="D42" t="s">
        <v>26</v>
      </c>
      <c r="E42" t="s">
        <v>75</v>
      </c>
      <c r="F42">
        <v>93.667000000000002</v>
      </c>
      <c r="G42" t="s">
        <v>101</v>
      </c>
      <c r="H42" s="13">
        <v>369621</v>
      </c>
      <c r="I42" t="s">
        <v>75</v>
      </c>
      <c r="J42" t="s">
        <v>102</v>
      </c>
      <c r="K42">
        <v>10175</v>
      </c>
    </row>
    <row r="43" spans="1:11" x14ac:dyDescent="0.25">
      <c r="A43" t="s">
        <v>71</v>
      </c>
      <c r="B43">
        <v>2018</v>
      </c>
      <c r="C43">
        <v>16544</v>
      </c>
      <c r="D43" t="s">
        <v>26</v>
      </c>
      <c r="E43" t="s">
        <v>75</v>
      </c>
      <c r="F43">
        <v>93.866</v>
      </c>
      <c r="G43" t="e">
        <v>#N/A</v>
      </c>
      <c r="H43" s="13">
        <v>3470</v>
      </c>
      <c r="I43" t="s">
        <v>72</v>
      </c>
      <c r="J43" t="s">
        <v>121</v>
      </c>
      <c r="K43">
        <v>3470</v>
      </c>
    </row>
    <row r="44" spans="1:11" x14ac:dyDescent="0.25">
      <c r="A44" t="s">
        <v>97</v>
      </c>
      <c r="B44">
        <v>2018</v>
      </c>
      <c r="C44">
        <v>245483</v>
      </c>
      <c r="D44" t="s">
        <v>27</v>
      </c>
      <c r="E44" t="s">
        <v>72</v>
      </c>
      <c r="F44">
        <v>10.558</v>
      </c>
      <c r="G44" t="s">
        <v>74</v>
      </c>
      <c r="H44" s="13">
        <v>453659</v>
      </c>
      <c r="I44" t="s">
        <v>75</v>
      </c>
      <c r="J44" t="s">
        <v>76</v>
      </c>
      <c r="K44">
        <v>453659</v>
      </c>
    </row>
    <row r="45" spans="1:11" x14ac:dyDescent="0.25">
      <c r="A45" t="s">
        <v>97</v>
      </c>
      <c r="B45">
        <v>2018</v>
      </c>
      <c r="C45">
        <v>245483</v>
      </c>
      <c r="D45" t="s">
        <v>27</v>
      </c>
      <c r="E45" t="s">
        <v>72</v>
      </c>
      <c r="F45">
        <v>93.575000000000003</v>
      </c>
      <c r="G45" t="s">
        <v>77</v>
      </c>
      <c r="H45" s="13">
        <v>1012780</v>
      </c>
      <c r="I45" t="s">
        <v>75</v>
      </c>
      <c r="J45" t="s">
        <v>78</v>
      </c>
      <c r="K45">
        <v>1012780</v>
      </c>
    </row>
    <row r="46" spans="1:11" x14ac:dyDescent="0.25">
      <c r="A46" t="s">
        <v>93</v>
      </c>
      <c r="B46">
        <v>2018</v>
      </c>
      <c r="C46">
        <v>207317</v>
      </c>
      <c r="D46" t="s">
        <v>28</v>
      </c>
      <c r="E46" t="s">
        <v>72</v>
      </c>
      <c r="F46">
        <v>10.558</v>
      </c>
      <c r="G46" t="s">
        <v>74</v>
      </c>
      <c r="H46" s="13">
        <v>2003872</v>
      </c>
      <c r="I46" t="s">
        <v>75</v>
      </c>
      <c r="J46" t="s">
        <v>76</v>
      </c>
      <c r="K46">
        <v>2003872</v>
      </c>
    </row>
    <row r="47" spans="1:11" x14ac:dyDescent="0.25">
      <c r="A47" t="s">
        <v>93</v>
      </c>
      <c r="B47">
        <v>2018</v>
      </c>
      <c r="C47">
        <v>207317</v>
      </c>
      <c r="D47" t="s">
        <v>28</v>
      </c>
      <c r="E47" t="s">
        <v>72</v>
      </c>
      <c r="F47">
        <v>93.6</v>
      </c>
      <c r="G47" t="s">
        <v>98</v>
      </c>
      <c r="H47" s="13">
        <v>2335857</v>
      </c>
      <c r="I47" t="s">
        <v>75</v>
      </c>
      <c r="J47" t="s">
        <v>99</v>
      </c>
      <c r="K47">
        <v>2335857</v>
      </c>
    </row>
    <row r="48" spans="1:11" x14ac:dyDescent="0.25">
      <c r="A48" t="s">
        <v>97</v>
      </c>
      <c r="B48">
        <v>2018</v>
      </c>
      <c r="C48">
        <v>9545</v>
      </c>
      <c r="D48" t="s">
        <v>29</v>
      </c>
      <c r="E48" t="s">
        <v>72</v>
      </c>
      <c r="F48">
        <v>14.218</v>
      </c>
      <c r="G48" t="s">
        <v>122</v>
      </c>
      <c r="H48" s="13">
        <v>472329</v>
      </c>
      <c r="I48" t="s">
        <v>75</v>
      </c>
      <c r="J48" t="s">
        <v>123</v>
      </c>
      <c r="K48">
        <v>472329</v>
      </c>
    </row>
    <row r="49" spans="1:11" x14ac:dyDescent="0.25">
      <c r="A49" t="s">
        <v>97</v>
      </c>
      <c r="B49">
        <v>2018</v>
      </c>
      <c r="C49">
        <v>9545</v>
      </c>
      <c r="D49" t="s">
        <v>29</v>
      </c>
      <c r="E49" t="s">
        <v>72</v>
      </c>
      <c r="F49">
        <v>14.252000000000001</v>
      </c>
      <c r="G49" t="e">
        <v>#N/A</v>
      </c>
      <c r="H49" s="13">
        <v>50000</v>
      </c>
      <c r="I49" t="s">
        <v>72</v>
      </c>
      <c r="J49" t="s">
        <v>124</v>
      </c>
      <c r="K49">
        <v>50000</v>
      </c>
    </row>
    <row r="50" spans="1:11" x14ac:dyDescent="0.25">
      <c r="A50" t="s">
        <v>97</v>
      </c>
      <c r="B50">
        <v>2018</v>
      </c>
      <c r="C50">
        <v>9545</v>
      </c>
      <c r="D50" t="s">
        <v>29</v>
      </c>
      <c r="E50" t="s">
        <v>72</v>
      </c>
      <c r="F50">
        <v>17.259</v>
      </c>
      <c r="G50" t="s">
        <v>107</v>
      </c>
      <c r="H50" s="13">
        <v>530750</v>
      </c>
      <c r="I50" t="s">
        <v>75</v>
      </c>
      <c r="J50" t="s">
        <v>108</v>
      </c>
      <c r="K50">
        <v>530750</v>
      </c>
    </row>
    <row r="51" spans="1:11" x14ac:dyDescent="0.25">
      <c r="A51" t="s">
        <v>97</v>
      </c>
      <c r="B51">
        <v>2018</v>
      </c>
      <c r="C51">
        <v>9545</v>
      </c>
      <c r="D51" t="s">
        <v>29</v>
      </c>
      <c r="E51" t="s">
        <v>72</v>
      </c>
      <c r="F51">
        <v>84.001999999999995</v>
      </c>
      <c r="G51" t="e">
        <v>#N/A</v>
      </c>
      <c r="H51" s="13">
        <v>486216</v>
      </c>
      <c r="I51" t="s">
        <v>72</v>
      </c>
      <c r="J51" t="s">
        <v>125</v>
      </c>
      <c r="K51">
        <v>486216</v>
      </c>
    </row>
    <row r="52" spans="1:11" x14ac:dyDescent="0.25">
      <c r="A52" t="s">
        <v>97</v>
      </c>
      <c r="B52">
        <v>2018</v>
      </c>
      <c r="C52">
        <v>9545</v>
      </c>
      <c r="D52" t="s">
        <v>29</v>
      </c>
      <c r="E52" t="s">
        <v>72</v>
      </c>
      <c r="F52">
        <v>84.043999999999997</v>
      </c>
      <c r="G52" t="e">
        <v>#N/A</v>
      </c>
      <c r="H52" s="13">
        <v>246912</v>
      </c>
      <c r="I52" t="s">
        <v>72</v>
      </c>
      <c r="J52" t="s">
        <v>126</v>
      </c>
      <c r="K52">
        <v>246912</v>
      </c>
    </row>
    <row r="53" spans="1:11" x14ac:dyDescent="0.25">
      <c r="A53" t="s">
        <v>97</v>
      </c>
      <c r="B53">
        <v>2018</v>
      </c>
      <c r="C53">
        <v>9545</v>
      </c>
      <c r="D53" t="s">
        <v>29</v>
      </c>
      <c r="E53" t="s">
        <v>72</v>
      </c>
      <c r="F53">
        <v>84.287000000000006</v>
      </c>
      <c r="G53" t="e">
        <v>#N/A</v>
      </c>
      <c r="H53" s="13">
        <v>1106941</v>
      </c>
      <c r="I53" t="s">
        <v>72</v>
      </c>
      <c r="J53" t="s">
        <v>127</v>
      </c>
      <c r="K53">
        <v>1106941</v>
      </c>
    </row>
    <row r="54" spans="1:11" x14ac:dyDescent="0.25">
      <c r="A54" t="s">
        <v>97</v>
      </c>
      <c r="B54">
        <v>2018</v>
      </c>
      <c r="C54">
        <v>9545</v>
      </c>
      <c r="D54" t="s">
        <v>29</v>
      </c>
      <c r="E54" t="s">
        <v>72</v>
      </c>
      <c r="F54">
        <v>93.569000000000003</v>
      </c>
      <c r="G54" t="s">
        <v>90</v>
      </c>
      <c r="H54" s="13">
        <v>164413</v>
      </c>
      <c r="I54" t="s">
        <v>75</v>
      </c>
      <c r="J54" t="s">
        <v>91</v>
      </c>
      <c r="K54">
        <v>89573</v>
      </c>
    </row>
    <row r="55" spans="1:11" x14ac:dyDescent="0.25">
      <c r="A55" t="s">
        <v>97</v>
      </c>
      <c r="B55">
        <v>2018</v>
      </c>
      <c r="C55">
        <v>9545</v>
      </c>
      <c r="D55" t="s">
        <v>29</v>
      </c>
      <c r="E55" t="s">
        <v>72</v>
      </c>
      <c r="F55">
        <v>94.006</v>
      </c>
      <c r="G55" t="e">
        <v>#N/A</v>
      </c>
      <c r="H55" s="13">
        <v>150822</v>
      </c>
      <c r="I55" t="s">
        <v>72</v>
      </c>
      <c r="J55" t="s">
        <v>128</v>
      </c>
      <c r="K55">
        <v>150822</v>
      </c>
    </row>
    <row r="56" spans="1:11" x14ac:dyDescent="0.25">
      <c r="A56" t="s">
        <v>71</v>
      </c>
      <c r="B56">
        <v>2018</v>
      </c>
      <c r="C56">
        <v>11678</v>
      </c>
      <c r="D56" t="s">
        <v>30</v>
      </c>
      <c r="E56" t="s">
        <v>72</v>
      </c>
      <c r="F56">
        <v>10.558</v>
      </c>
      <c r="G56" t="s">
        <v>74</v>
      </c>
      <c r="H56" s="13">
        <v>1660777</v>
      </c>
      <c r="I56" t="s">
        <v>75</v>
      </c>
      <c r="J56" t="s">
        <v>76</v>
      </c>
      <c r="K56">
        <v>1660777</v>
      </c>
    </row>
    <row r="57" spans="1:11" x14ac:dyDescent="0.25">
      <c r="A57" t="s">
        <v>71</v>
      </c>
      <c r="B57">
        <v>2018</v>
      </c>
      <c r="C57">
        <v>11678</v>
      </c>
      <c r="D57" t="s">
        <v>30</v>
      </c>
      <c r="E57" t="s">
        <v>72</v>
      </c>
      <c r="F57">
        <v>10.561</v>
      </c>
      <c r="G57" t="s">
        <v>103</v>
      </c>
      <c r="H57" s="13">
        <v>54871</v>
      </c>
      <c r="I57" t="s">
        <v>75</v>
      </c>
      <c r="J57" t="s">
        <v>129</v>
      </c>
      <c r="K57">
        <v>54871</v>
      </c>
    </row>
    <row r="58" spans="1:11" x14ac:dyDescent="0.25">
      <c r="A58" t="s">
        <v>71</v>
      </c>
      <c r="B58">
        <v>2018</v>
      </c>
      <c r="C58">
        <v>11678</v>
      </c>
      <c r="D58" t="s">
        <v>30</v>
      </c>
      <c r="E58" t="s">
        <v>72</v>
      </c>
      <c r="F58">
        <v>93.575000000000003</v>
      </c>
      <c r="G58" t="s">
        <v>77</v>
      </c>
      <c r="H58" s="13">
        <v>6888552</v>
      </c>
      <c r="I58" t="s">
        <v>75</v>
      </c>
      <c r="J58" t="s">
        <v>78</v>
      </c>
      <c r="K58">
        <v>6888552</v>
      </c>
    </row>
    <row r="59" spans="1:11" x14ac:dyDescent="0.25">
      <c r="A59" t="s">
        <v>97</v>
      </c>
      <c r="B59">
        <v>2018</v>
      </c>
      <c r="C59">
        <v>10613</v>
      </c>
      <c r="D59" t="s">
        <v>31</v>
      </c>
      <c r="E59" t="s">
        <v>75</v>
      </c>
      <c r="F59">
        <v>10.558</v>
      </c>
      <c r="G59" t="s">
        <v>74</v>
      </c>
      <c r="H59" s="13">
        <v>428040</v>
      </c>
      <c r="I59" t="s">
        <v>75</v>
      </c>
      <c r="J59" t="s">
        <v>76</v>
      </c>
      <c r="K59">
        <v>428040</v>
      </c>
    </row>
    <row r="60" spans="1:11" x14ac:dyDescent="0.25">
      <c r="A60" t="s">
        <v>97</v>
      </c>
      <c r="B60">
        <v>2018</v>
      </c>
      <c r="C60">
        <v>10613</v>
      </c>
      <c r="D60" t="s">
        <v>31</v>
      </c>
      <c r="E60" t="s">
        <v>75</v>
      </c>
      <c r="F60">
        <v>84.01</v>
      </c>
      <c r="G60" t="e">
        <v>#N/A</v>
      </c>
      <c r="H60" s="13">
        <v>251872</v>
      </c>
      <c r="I60" t="s">
        <v>72</v>
      </c>
      <c r="J60" t="s">
        <v>130</v>
      </c>
      <c r="K60">
        <v>251872</v>
      </c>
    </row>
    <row r="61" spans="1:11" x14ac:dyDescent="0.25">
      <c r="A61" t="s">
        <v>97</v>
      </c>
      <c r="B61">
        <v>2018</v>
      </c>
      <c r="C61">
        <v>10613</v>
      </c>
      <c r="D61" t="s">
        <v>31</v>
      </c>
      <c r="E61" t="s">
        <v>75</v>
      </c>
      <c r="F61">
        <v>84.376999999999995</v>
      </c>
      <c r="G61" t="e">
        <v>#N/A</v>
      </c>
      <c r="H61" s="13">
        <v>209989</v>
      </c>
      <c r="I61" t="s">
        <v>72</v>
      </c>
      <c r="J61" t="s">
        <v>131</v>
      </c>
      <c r="K61">
        <v>209989</v>
      </c>
    </row>
    <row r="62" spans="1:11" x14ac:dyDescent="0.25">
      <c r="A62" t="s">
        <v>97</v>
      </c>
      <c r="B62">
        <v>2018</v>
      </c>
      <c r="C62">
        <v>10613</v>
      </c>
      <c r="D62" t="s">
        <v>31</v>
      </c>
      <c r="E62" t="s">
        <v>75</v>
      </c>
      <c r="F62">
        <v>93.043999999999997</v>
      </c>
      <c r="G62" t="s">
        <v>109</v>
      </c>
      <c r="H62" s="13">
        <v>11501</v>
      </c>
      <c r="I62" t="s">
        <v>75</v>
      </c>
      <c r="J62" t="s">
        <v>132</v>
      </c>
      <c r="K62">
        <v>2126</v>
      </c>
    </row>
    <row r="63" spans="1:11" x14ac:dyDescent="0.25">
      <c r="A63" t="s">
        <v>97</v>
      </c>
      <c r="B63">
        <v>2018</v>
      </c>
      <c r="C63">
        <v>10613</v>
      </c>
      <c r="D63" t="s">
        <v>31</v>
      </c>
      <c r="E63" t="s">
        <v>75</v>
      </c>
      <c r="F63">
        <v>93.052999999999997</v>
      </c>
      <c r="G63" t="s">
        <v>113</v>
      </c>
      <c r="H63" s="13">
        <v>32632</v>
      </c>
      <c r="I63" t="s">
        <v>75</v>
      </c>
      <c r="J63" t="s">
        <v>114</v>
      </c>
      <c r="K63">
        <v>9155</v>
      </c>
    </row>
    <row r="64" spans="1:11" x14ac:dyDescent="0.25">
      <c r="A64" t="s">
        <v>97</v>
      </c>
      <c r="B64">
        <v>2018</v>
      </c>
      <c r="C64">
        <v>10613</v>
      </c>
      <c r="D64" t="s">
        <v>31</v>
      </c>
      <c r="E64" t="s">
        <v>75</v>
      </c>
      <c r="F64">
        <v>93.569000000000003</v>
      </c>
      <c r="G64" t="s">
        <v>90</v>
      </c>
      <c r="H64" s="13">
        <v>233283</v>
      </c>
      <c r="I64" t="s">
        <v>75</v>
      </c>
      <c r="J64" t="s">
        <v>91</v>
      </c>
      <c r="K64">
        <v>114936</v>
      </c>
    </row>
    <row r="65" spans="1:11" x14ac:dyDescent="0.25">
      <c r="A65" t="s">
        <v>97</v>
      </c>
      <c r="B65">
        <v>2018</v>
      </c>
      <c r="C65">
        <v>10613</v>
      </c>
      <c r="D65" t="s">
        <v>31</v>
      </c>
      <c r="E65" t="s">
        <v>75</v>
      </c>
      <c r="F65">
        <v>93.6</v>
      </c>
      <c r="G65" t="s">
        <v>98</v>
      </c>
      <c r="H65" s="13">
        <v>2300810</v>
      </c>
      <c r="I65" t="s">
        <v>75</v>
      </c>
      <c r="J65" t="s">
        <v>99</v>
      </c>
      <c r="K65">
        <v>2300810</v>
      </c>
    </row>
    <row r="66" spans="1:11" x14ac:dyDescent="0.25">
      <c r="A66" t="s">
        <v>97</v>
      </c>
      <c r="B66">
        <v>2018</v>
      </c>
      <c r="C66">
        <v>10613</v>
      </c>
      <c r="D66" t="s">
        <v>31</v>
      </c>
      <c r="E66" t="s">
        <v>75</v>
      </c>
      <c r="F66">
        <v>93.667000000000002</v>
      </c>
      <c r="G66" t="s">
        <v>101</v>
      </c>
      <c r="H66" s="13">
        <v>6160</v>
      </c>
      <c r="I66" t="s">
        <v>75</v>
      </c>
      <c r="J66" t="s">
        <v>102</v>
      </c>
      <c r="K66">
        <v>3104</v>
      </c>
    </row>
    <row r="67" spans="1:11" x14ac:dyDescent="0.25">
      <c r="A67" t="s">
        <v>89</v>
      </c>
      <c r="B67">
        <v>2018</v>
      </c>
      <c r="C67">
        <v>248102</v>
      </c>
      <c r="D67" t="s">
        <v>32</v>
      </c>
      <c r="E67" t="s">
        <v>72</v>
      </c>
      <c r="F67">
        <v>16.574999999999999</v>
      </c>
      <c r="G67" t="e">
        <v>#N/A</v>
      </c>
      <c r="H67" s="13">
        <v>139992</v>
      </c>
      <c r="I67" t="s">
        <v>72</v>
      </c>
      <c r="J67" t="s">
        <v>100</v>
      </c>
      <c r="K67">
        <v>139992</v>
      </c>
    </row>
    <row r="68" spans="1:11" x14ac:dyDescent="0.25">
      <c r="A68" t="s">
        <v>89</v>
      </c>
      <c r="B68">
        <v>2018</v>
      </c>
      <c r="C68">
        <v>248102</v>
      </c>
      <c r="D68" t="s">
        <v>32</v>
      </c>
      <c r="E68" t="s">
        <v>72</v>
      </c>
      <c r="F68">
        <v>93.296999999999997</v>
      </c>
      <c r="G68" t="e">
        <v>#N/A</v>
      </c>
      <c r="H68" s="13">
        <v>30750</v>
      </c>
      <c r="I68" t="s">
        <v>72</v>
      </c>
      <c r="J68" t="s">
        <v>133</v>
      </c>
      <c r="K68">
        <v>30750</v>
      </c>
    </row>
    <row r="69" spans="1:11" x14ac:dyDescent="0.25">
      <c r="A69" t="s">
        <v>89</v>
      </c>
      <c r="B69">
        <v>2018</v>
      </c>
      <c r="C69">
        <v>248102</v>
      </c>
      <c r="D69" t="s">
        <v>32</v>
      </c>
      <c r="E69" t="s">
        <v>72</v>
      </c>
      <c r="F69">
        <v>93.558000000000007</v>
      </c>
      <c r="G69" t="s">
        <v>82</v>
      </c>
      <c r="H69" s="13">
        <v>120156</v>
      </c>
      <c r="I69" t="s">
        <v>75</v>
      </c>
      <c r="J69" t="s">
        <v>83</v>
      </c>
      <c r="K69">
        <v>120156</v>
      </c>
    </row>
    <row r="70" spans="1:11" x14ac:dyDescent="0.25">
      <c r="A70" t="s">
        <v>89</v>
      </c>
      <c r="B70">
        <v>2018</v>
      </c>
      <c r="C70">
        <v>248102</v>
      </c>
      <c r="D70" t="s">
        <v>32</v>
      </c>
      <c r="E70" t="s">
        <v>72</v>
      </c>
      <c r="F70">
        <v>93.667000000000002</v>
      </c>
      <c r="G70" t="s">
        <v>101</v>
      </c>
      <c r="H70" s="13">
        <v>665587</v>
      </c>
      <c r="I70" t="s">
        <v>75</v>
      </c>
      <c r="J70" t="s">
        <v>102</v>
      </c>
      <c r="K70">
        <v>665587</v>
      </c>
    </row>
    <row r="71" spans="1:11" x14ac:dyDescent="0.25">
      <c r="A71" t="s">
        <v>97</v>
      </c>
      <c r="B71">
        <v>2018</v>
      </c>
      <c r="C71">
        <v>14641</v>
      </c>
      <c r="D71" t="s">
        <v>33</v>
      </c>
      <c r="E71" t="s">
        <v>72</v>
      </c>
      <c r="F71">
        <v>10.553000000000001</v>
      </c>
      <c r="G71" t="s">
        <v>134</v>
      </c>
      <c r="H71" s="13">
        <v>7924</v>
      </c>
      <c r="I71" t="s">
        <v>75</v>
      </c>
      <c r="J71" t="s">
        <v>135</v>
      </c>
      <c r="K71">
        <v>7924</v>
      </c>
    </row>
    <row r="72" spans="1:11" x14ac:dyDescent="0.25">
      <c r="A72" t="s">
        <v>97</v>
      </c>
      <c r="B72">
        <v>2018</v>
      </c>
      <c r="C72">
        <v>14641</v>
      </c>
      <c r="D72" t="s">
        <v>33</v>
      </c>
      <c r="E72" t="s">
        <v>72</v>
      </c>
      <c r="F72">
        <v>10.555</v>
      </c>
      <c r="G72" t="s">
        <v>136</v>
      </c>
      <c r="H72" s="13">
        <v>10012</v>
      </c>
      <c r="I72" t="s">
        <v>75</v>
      </c>
      <c r="J72" t="s">
        <v>137</v>
      </c>
      <c r="K72">
        <v>10012</v>
      </c>
    </row>
    <row r="73" spans="1:11" x14ac:dyDescent="0.25">
      <c r="A73" t="s">
        <v>97</v>
      </c>
      <c r="B73">
        <v>2018</v>
      </c>
      <c r="C73">
        <v>14641</v>
      </c>
      <c r="D73" t="s">
        <v>33</v>
      </c>
      <c r="E73" t="s">
        <v>72</v>
      </c>
      <c r="F73">
        <v>10.558</v>
      </c>
      <c r="G73" t="s">
        <v>74</v>
      </c>
      <c r="H73" s="13">
        <v>1212015</v>
      </c>
      <c r="I73" t="s">
        <v>75</v>
      </c>
      <c r="J73" t="s">
        <v>76</v>
      </c>
      <c r="K73">
        <v>613206</v>
      </c>
    </row>
    <row r="74" spans="1:11" x14ac:dyDescent="0.25">
      <c r="A74" t="s">
        <v>97</v>
      </c>
      <c r="B74">
        <v>2018</v>
      </c>
      <c r="C74">
        <v>14641</v>
      </c>
      <c r="D74" t="s">
        <v>33</v>
      </c>
      <c r="E74" t="s">
        <v>72</v>
      </c>
      <c r="F74">
        <v>14.228</v>
      </c>
      <c r="G74" t="e">
        <v>#N/A</v>
      </c>
      <c r="H74" s="13">
        <v>295757</v>
      </c>
      <c r="I74" t="s">
        <v>72</v>
      </c>
      <c r="J74" t="s">
        <v>138</v>
      </c>
      <c r="K74">
        <v>295757</v>
      </c>
    </row>
    <row r="75" spans="1:11" x14ac:dyDescent="0.25">
      <c r="A75" t="s">
        <v>97</v>
      </c>
      <c r="B75">
        <v>2018</v>
      </c>
      <c r="C75">
        <v>14641</v>
      </c>
      <c r="D75" t="s">
        <v>33</v>
      </c>
      <c r="E75" t="s">
        <v>72</v>
      </c>
      <c r="F75">
        <v>14.234999999999999</v>
      </c>
      <c r="G75" t="e">
        <v>#N/A</v>
      </c>
      <c r="H75" s="13">
        <v>229908</v>
      </c>
      <c r="I75" t="s">
        <v>72</v>
      </c>
      <c r="J75" t="s">
        <v>139</v>
      </c>
      <c r="K75">
        <v>229908</v>
      </c>
    </row>
    <row r="76" spans="1:11" x14ac:dyDescent="0.25">
      <c r="A76" t="s">
        <v>97</v>
      </c>
      <c r="B76">
        <v>2018</v>
      </c>
      <c r="C76">
        <v>14641</v>
      </c>
      <c r="D76" t="s">
        <v>33</v>
      </c>
      <c r="E76" t="s">
        <v>72</v>
      </c>
      <c r="F76">
        <v>84.027000000000001</v>
      </c>
      <c r="G76" t="e">
        <v>#N/A</v>
      </c>
      <c r="H76" s="13">
        <v>48285</v>
      </c>
      <c r="I76" t="s">
        <v>72</v>
      </c>
      <c r="J76" t="s">
        <v>140</v>
      </c>
      <c r="K76">
        <v>48285</v>
      </c>
    </row>
    <row r="77" spans="1:11" x14ac:dyDescent="0.25">
      <c r="A77" t="s">
        <v>97</v>
      </c>
      <c r="B77">
        <v>2018</v>
      </c>
      <c r="C77">
        <v>14641</v>
      </c>
      <c r="D77" t="s">
        <v>33</v>
      </c>
      <c r="E77" t="s">
        <v>72</v>
      </c>
      <c r="F77">
        <v>84.173000000000002</v>
      </c>
      <c r="G77" t="e">
        <v>#N/A</v>
      </c>
      <c r="H77" s="13">
        <v>6405</v>
      </c>
      <c r="I77" t="s">
        <v>72</v>
      </c>
      <c r="J77" t="s">
        <v>141</v>
      </c>
      <c r="K77">
        <v>6405</v>
      </c>
    </row>
    <row r="78" spans="1:11" x14ac:dyDescent="0.25">
      <c r="A78" t="s">
        <v>97</v>
      </c>
      <c r="B78">
        <v>2018</v>
      </c>
      <c r="C78">
        <v>14641</v>
      </c>
      <c r="D78" t="s">
        <v>33</v>
      </c>
      <c r="E78" t="s">
        <v>72</v>
      </c>
      <c r="F78">
        <v>93.6</v>
      </c>
      <c r="G78" t="s">
        <v>98</v>
      </c>
      <c r="H78" s="13">
        <v>4136847</v>
      </c>
      <c r="I78" t="s">
        <v>75</v>
      </c>
      <c r="J78" t="s">
        <v>99</v>
      </c>
      <c r="K78">
        <v>3175865</v>
      </c>
    </row>
    <row r="79" spans="1:11" x14ac:dyDescent="0.25">
      <c r="A79" t="s">
        <v>97</v>
      </c>
      <c r="B79">
        <v>2018</v>
      </c>
      <c r="C79">
        <v>14641</v>
      </c>
      <c r="D79" t="s">
        <v>33</v>
      </c>
      <c r="E79" t="s">
        <v>72</v>
      </c>
      <c r="F79">
        <v>93.766999999999996</v>
      </c>
      <c r="G79" t="e">
        <v>#N/A</v>
      </c>
      <c r="H79" s="13">
        <v>30013</v>
      </c>
      <c r="I79" t="s">
        <v>72</v>
      </c>
      <c r="J79" t="s">
        <v>142</v>
      </c>
      <c r="K79">
        <v>30013</v>
      </c>
    </row>
    <row r="80" spans="1:11" x14ac:dyDescent="0.25">
      <c r="A80" t="s">
        <v>97</v>
      </c>
      <c r="B80">
        <v>2018</v>
      </c>
      <c r="C80">
        <v>14641</v>
      </c>
      <c r="D80" t="s">
        <v>33</v>
      </c>
      <c r="E80" t="s">
        <v>72</v>
      </c>
      <c r="F80">
        <v>93.778000000000006</v>
      </c>
      <c r="G80" t="s">
        <v>143</v>
      </c>
      <c r="H80" s="13">
        <v>178346</v>
      </c>
      <c r="I80" t="s">
        <v>75</v>
      </c>
      <c r="J80" t="s">
        <v>144</v>
      </c>
      <c r="K80">
        <v>178346</v>
      </c>
    </row>
    <row r="81" spans="1:11" x14ac:dyDescent="0.25">
      <c r="A81" t="s">
        <v>97</v>
      </c>
      <c r="B81">
        <v>2018</v>
      </c>
      <c r="C81">
        <v>14641</v>
      </c>
      <c r="D81" t="s">
        <v>33</v>
      </c>
      <c r="E81" t="s">
        <v>72</v>
      </c>
      <c r="F81">
        <v>93.917000000000002</v>
      </c>
      <c r="G81" t="e">
        <v>#N/A</v>
      </c>
      <c r="H81" s="13">
        <v>65621</v>
      </c>
      <c r="I81" t="s">
        <v>72</v>
      </c>
      <c r="J81" t="s">
        <v>85</v>
      </c>
      <c r="K81">
        <v>65621</v>
      </c>
    </row>
    <row r="82" spans="1:11" x14ac:dyDescent="0.25">
      <c r="A82" t="s">
        <v>97</v>
      </c>
      <c r="B82">
        <v>2018</v>
      </c>
      <c r="C82">
        <v>14641</v>
      </c>
      <c r="D82" t="s">
        <v>33</v>
      </c>
      <c r="E82" t="s">
        <v>72</v>
      </c>
      <c r="F82">
        <v>93.926000000000002</v>
      </c>
      <c r="G82" t="e">
        <v>#N/A</v>
      </c>
      <c r="H82" s="13">
        <v>224325</v>
      </c>
      <c r="I82" t="s">
        <v>72</v>
      </c>
      <c r="J82" t="s">
        <v>145</v>
      </c>
      <c r="K82">
        <v>224325</v>
      </c>
    </row>
    <row r="83" spans="1:11" x14ac:dyDescent="0.25">
      <c r="A83" t="s">
        <v>97</v>
      </c>
      <c r="B83">
        <v>2018</v>
      </c>
      <c r="C83">
        <v>14641</v>
      </c>
      <c r="D83" t="s">
        <v>33</v>
      </c>
      <c r="E83" t="s">
        <v>72</v>
      </c>
      <c r="F83">
        <v>94.019000000000005</v>
      </c>
      <c r="G83" t="e">
        <v>#N/A</v>
      </c>
      <c r="H83" s="13">
        <v>118734</v>
      </c>
      <c r="I83" t="s">
        <v>72</v>
      </c>
      <c r="J83" t="s">
        <v>146</v>
      </c>
      <c r="K83">
        <v>118734</v>
      </c>
    </row>
    <row r="84" spans="1:11" x14ac:dyDescent="0.25">
      <c r="A84" t="s">
        <v>147</v>
      </c>
      <c r="B84">
        <v>2018</v>
      </c>
      <c r="C84">
        <v>221077</v>
      </c>
      <c r="D84" t="s">
        <v>34</v>
      </c>
      <c r="E84" t="s">
        <v>72</v>
      </c>
      <c r="F84">
        <v>10.558</v>
      </c>
      <c r="G84" t="s">
        <v>74</v>
      </c>
      <c r="H84" s="13">
        <v>165476</v>
      </c>
      <c r="I84" t="s">
        <v>75</v>
      </c>
      <c r="J84" t="s">
        <v>76</v>
      </c>
      <c r="K84">
        <v>165476</v>
      </c>
    </row>
    <row r="85" spans="1:11" x14ac:dyDescent="0.25">
      <c r="A85" t="s">
        <v>147</v>
      </c>
      <c r="B85">
        <v>2018</v>
      </c>
      <c r="C85">
        <v>221077</v>
      </c>
      <c r="D85" t="s">
        <v>34</v>
      </c>
      <c r="E85" t="s">
        <v>72</v>
      </c>
      <c r="F85">
        <v>14.234999999999999</v>
      </c>
      <c r="G85" t="e">
        <v>#N/A</v>
      </c>
      <c r="H85" s="13">
        <v>638845</v>
      </c>
      <c r="I85" t="s">
        <v>72</v>
      </c>
      <c r="J85" t="s">
        <v>139</v>
      </c>
      <c r="K85">
        <v>638845</v>
      </c>
    </row>
    <row r="86" spans="1:11" x14ac:dyDescent="0.25">
      <c r="A86" t="s">
        <v>147</v>
      </c>
      <c r="B86">
        <v>2018</v>
      </c>
      <c r="C86">
        <v>221077</v>
      </c>
      <c r="D86" t="s">
        <v>34</v>
      </c>
      <c r="E86" t="s">
        <v>72</v>
      </c>
      <c r="F86">
        <v>84.186999999999998</v>
      </c>
      <c r="G86" t="e">
        <v>#N/A</v>
      </c>
      <c r="H86" s="13">
        <v>85402</v>
      </c>
      <c r="I86" t="s">
        <v>72</v>
      </c>
      <c r="J86" t="s">
        <v>148</v>
      </c>
      <c r="K86">
        <v>85402</v>
      </c>
    </row>
    <row r="87" spans="1:11" x14ac:dyDescent="0.25">
      <c r="A87" t="s">
        <v>147</v>
      </c>
      <c r="B87">
        <v>2018</v>
      </c>
      <c r="C87">
        <v>221077</v>
      </c>
      <c r="D87" t="s">
        <v>34</v>
      </c>
      <c r="E87" t="s">
        <v>72</v>
      </c>
      <c r="F87">
        <v>93.043999999999997</v>
      </c>
      <c r="G87" t="s">
        <v>109</v>
      </c>
      <c r="H87" s="13">
        <v>7447</v>
      </c>
      <c r="I87" t="s">
        <v>75</v>
      </c>
      <c r="J87" t="s">
        <v>132</v>
      </c>
      <c r="K87">
        <v>7447</v>
      </c>
    </row>
    <row r="88" spans="1:11" x14ac:dyDescent="0.25">
      <c r="A88" t="s">
        <v>147</v>
      </c>
      <c r="B88">
        <v>2018</v>
      </c>
      <c r="C88">
        <v>221077</v>
      </c>
      <c r="D88" t="s">
        <v>34</v>
      </c>
      <c r="E88" t="s">
        <v>72</v>
      </c>
      <c r="F88">
        <v>93.045000000000002</v>
      </c>
      <c r="G88" t="s">
        <v>111</v>
      </c>
      <c r="H88" s="13">
        <v>239837</v>
      </c>
      <c r="I88" t="s">
        <v>75</v>
      </c>
      <c r="J88" t="s">
        <v>149</v>
      </c>
      <c r="K88">
        <v>55321</v>
      </c>
    </row>
    <row r="89" spans="1:11" x14ac:dyDescent="0.25">
      <c r="A89" t="s">
        <v>147</v>
      </c>
      <c r="B89">
        <v>2018</v>
      </c>
      <c r="C89">
        <v>221077</v>
      </c>
      <c r="D89" t="s">
        <v>34</v>
      </c>
      <c r="E89" t="s">
        <v>72</v>
      </c>
      <c r="F89">
        <v>93.052999999999997</v>
      </c>
      <c r="G89" t="s">
        <v>113</v>
      </c>
      <c r="H89" s="13">
        <v>79742</v>
      </c>
      <c r="I89" t="s">
        <v>75</v>
      </c>
      <c r="J89" t="s">
        <v>114</v>
      </c>
      <c r="K89">
        <v>6992</v>
      </c>
    </row>
    <row r="90" spans="1:11" x14ac:dyDescent="0.25">
      <c r="A90" t="s">
        <v>147</v>
      </c>
      <c r="B90">
        <v>2018</v>
      </c>
      <c r="C90">
        <v>221077</v>
      </c>
      <c r="D90" t="s">
        <v>34</v>
      </c>
      <c r="E90" t="s">
        <v>72</v>
      </c>
      <c r="F90">
        <v>93.352999999999994</v>
      </c>
      <c r="G90" t="e">
        <v>#N/A</v>
      </c>
      <c r="H90" s="13">
        <v>27160</v>
      </c>
      <c r="I90" t="s">
        <v>72</v>
      </c>
      <c r="J90" t="s">
        <v>150</v>
      </c>
      <c r="K90">
        <v>27160</v>
      </c>
    </row>
    <row r="91" spans="1:11" x14ac:dyDescent="0.25">
      <c r="A91" t="s">
        <v>147</v>
      </c>
      <c r="B91">
        <v>2018</v>
      </c>
      <c r="C91">
        <v>221077</v>
      </c>
      <c r="D91" t="s">
        <v>34</v>
      </c>
      <c r="E91" t="s">
        <v>72</v>
      </c>
      <c r="F91">
        <v>93.575000000000003</v>
      </c>
      <c r="G91" t="s">
        <v>77</v>
      </c>
      <c r="H91" s="13">
        <v>1358983</v>
      </c>
      <c r="I91" t="s">
        <v>75</v>
      </c>
      <c r="J91" t="s">
        <v>78</v>
      </c>
      <c r="K91">
        <v>1358983</v>
      </c>
    </row>
    <row r="92" spans="1:11" x14ac:dyDescent="0.25">
      <c r="A92" t="s">
        <v>147</v>
      </c>
      <c r="B92">
        <v>2018</v>
      </c>
      <c r="C92">
        <v>221077</v>
      </c>
      <c r="D92" t="s">
        <v>34</v>
      </c>
      <c r="E92" t="s">
        <v>72</v>
      </c>
      <c r="F92">
        <v>93.6</v>
      </c>
      <c r="G92" t="s">
        <v>98</v>
      </c>
      <c r="H92" s="13">
        <v>571875</v>
      </c>
      <c r="I92" t="s">
        <v>75</v>
      </c>
      <c r="J92" t="s">
        <v>99</v>
      </c>
      <c r="K92">
        <v>571875</v>
      </c>
    </row>
    <row r="93" spans="1:11" x14ac:dyDescent="0.25">
      <c r="A93" t="s">
        <v>147</v>
      </c>
      <c r="B93">
        <v>2018</v>
      </c>
      <c r="C93">
        <v>221077</v>
      </c>
      <c r="D93" t="s">
        <v>34</v>
      </c>
      <c r="E93" t="s">
        <v>72</v>
      </c>
      <c r="F93">
        <v>93.667000000000002</v>
      </c>
      <c r="G93" t="s">
        <v>101</v>
      </c>
      <c r="H93" s="13">
        <v>139927</v>
      </c>
      <c r="I93" t="s">
        <v>75</v>
      </c>
      <c r="J93" t="s">
        <v>102</v>
      </c>
      <c r="K93">
        <v>74275</v>
      </c>
    </row>
    <row r="94" spans="1:11" x14ac:dyDescent="0.25">
      <c r="A94" t="s">
        <v>147</v>
      </c>
      <c r="B94">
        <v>2018</v>
      </c>
      <c r="C94">
        <v>221077</v>
      </c>
      <c r="D94" t="s">
        <v>34</v>
      </c>
      <c r="E94" t="s">
        <v>72</v>
      </c>
      <c r="F94">
        <v>93.957999999999998</v>
      </c>
      <c r="G94" t="e">
        <v>#N/A</v>
      </c>
      <c r="H94" s="13">
        <v>367406</v>
      </c>
      <c r="I94" t="s">
        <v>72</v>
      </c>
      <c r="J94" t="s">
        <v>151</v>
      </c>
      <c r="K94">
        <v>367406</v>
      </c>
    </row>
    <row r="95" spans="1:11" x14ac:dyDescent="0.25">
      <c r="A95" t="s">
        <v>152</v>
      </c>
      <c r="B95">
        <v>2018</v>
      </c>
      <c r="C95">
        <v>12087</v>
      </c>
      <c r="D95" t="s">
        <v>35</v>
      </c>
      <c r="E95" t="s">
        <v>72</v>
      </c>
      <c r="F95">
        <v>93.242999999999995</v>
      </c>
      <c r="G95" t="e">
        <v>#N/A</v>
      </c>
      <c r="H95" s="13">
        <v>381888</v>
      </c>
      <c r="I95" t="s">
        <v>72</v>
      </c>
      <c r="J95" t="s">
        <v>81</v>
      </c>
      <c r="K95">
        <v>381888</v>
      </c>
    </row>
    <row r="96" spans="1:11" x14ac:dyDescent="0.25">
      <c r="A96" t="s">
        <v>152</v>
      </c>
      <c r="B96">
        <v>2018</v>
      </c>
      <c r="C96">
        <v>12087</v>
      </c>
      <c r="D96" t="s">
        <v>35</v>
      </c>
      <c r="E96" t="s">
        <v>72</v>
      </c>
      <c r="F96">
        <v>93.558000000000007</v>
      </c>
      <c r="G96" t="s">
        <v>82</v>
      </c>
      <c r="H96" s="13">
        <v>129322</v>
      </c>
      <c r="I96" t="s">
        <v>75</v>
      </c>
      <c r="J96" t="s">
        <v>83</v>
      </c>
      <c r="K96">
        <v>129322</v>
      </c>
    </row>
    <row r="97" spans="1:11" x14ac:dyDescent="0.25">
      <c r="A97" t="s">
        <v>152</v>
      </c>
      <c r="B97">
        <v>2018</v>
      </c>
      <c r="C97">
        <v>12087</v>
      </c>
      <c r="D97" t="s">
        <v>35</v>
      </c>
      <c r="E97" t="s">
        <v>72</v>
      </c>
      <c r="F97">
        <v>93.563000000000002</v>
      </c>
      <c r="G97" t="s">
        <v>119</v>
      </c>
      <c r="H97" s="13">
        <v>3776</v>
      </c>
      <c r="I97" t="s">
        <v>75</v>
      </c>
      <c r="J97" t="s">
        <v>120</v>
      </c>
      <c r="K97">
        <v>3776</v>
      </c>
    </row>
    <row r="98" spans="1:11" x14ac:dyDescent="0.25">
      <c r="A98" t="s">
        <v>152</v>
      </c>
      <c r="B98">
        <v>2018</v>
      </c>
      <c r="C98">
        <v>12087</v>
      </c>
      <c r="D98" t="s">
        <v>35</v>
      </c>
      <c r="E98" t="s">
        <v>72</v>
      </c>
      <c r="F98">
        <v>93.959000000000003</v>
      </c>
      <c r="G98" t="e">
        <v>#N/A</v>
      </c>
      <c r="H98" s="13">
        <v>1114267</v>
      </c>
      <c r="I98" t="s">
        <v>72</v>
      </c>
      <c r="J98" t="s">
        <v>92</v>
      </c>
      <c r="K98">
        <v>1114267</v>
      </c>
    </row>
    <row r="99" spans="1:11" x14ac:dyDescent="0.25">
      <c r="A99" t="s">
        <v>147</v>
      </c>
      <c r="B99">
        <v>2018</v>
      </c>
      <c r="C99">
        <v>242372</v>
      </c>
      <c r="D99" t="s">
        <v>36</v>
      </c>
      <c r="E99" t="s">
        <v>72</v>
      </c>
      <c r="F99">
        <v>10.558</v>
      </c>
      <c r="G99" t="s">
        <v>74</v>
      </c>
      <c r="H99" s="13">
        <v>487165</v>
      </c>
      <c r="I99" t="s">
        <v>75</v>
      </c>
      <c r="J99" t="s">
        <v>76</v>
      </c>
      <c r="K99">
        <v>487165</v>
      </c>
    </row>
    <row r="100" spans="1:11" x14ac:dyDescent="0.25">
      <c r="A100" t="s">
        <v>147</v>
      </c>
      <c r="B100">
        <v>2018</v>
      </c>
      <c r="C100">
        <v>242372</v>
      </c>
      <c r="D100" t="s">
        <v>36</v>
      </c>
      <c r="E100" t="s">
        <v>72</v>
      </c>
      <c r="F100">
        <v>93.043999999999997</v>
      </c>
      <c r="G100" t="s">
        <v>109</v>
      </c>
      <c r="H100" s="13">
        <v>9246</v>
      </c>
      <c r="I100" t="s">
        <v>75</v>
      </c>
      <c r="J100" t="s">
        <v>114</v>
      </c>
      <c r="K100">
        <v>9246</v>
      </c>
    </row>
    <row r="101" spans="1:11" x14ac:dyDescent="0.25">
      <c r="A101" t="s">
        <v>147</v>
      </c>
      <c r="B101">
        <v>2018</v>
      </c>
      <c r="C101">
        <v>242372</v>
      </c>
      <c r="D101" t="s">
        <v>36</v>
      </c>
      <c r="E101" t="s">
        <v>72</v>
      </c>
      <c r="F101">
        <v>93.045000000000002</v>
      </c>
      <c r="G101" t="s">
        <v>111</v>
      </c>
      <c r="H101" s="13">
        <v>73203</v>
      </c>
      <c r="I101" t="s">
        <v>75</v>
      </c>
      <c r="J101" t="s">
        <v>149</v>
      </c>
      <c r="K101">
        <v>73203</v>
      </c>
    </row>
    <row r="102" spans="1:11" x14ac:dyDescent="0.25">
      <c r="A102" t="s">
        <v>147</v>
      </c>
      <c r="B102">
        <v>2018</v>
      </c>
      <c r="C102">
        <v>242372</v>
      </c>
      <c r="D102" t="s">
        <v>36</v>
      </c>
      <c r="E102" t="s">
        <v>72</v>
      </c>
      <c r="F102">
        <v>93.052000000000007</v>
      </c>
      <c r="G102" t="s">
        <v>153</v>
      </c>
      <c r="H102" s="13">
        <v>373003</v>
      </c>
      <c r="I102" t="s">
        <v>75</v>
      </c>
      <c r="J102" t="s">
        <v>154</v>
      </c>
      <c r="K102">
        <v>373003</v>
      </c>
    </row>
    <row r="103" spans="1:11" x14ac:dyDescent="0.25">
      <c r="A103" t="s">
        <v>147</v>
      </c>
      <c r="B103">
        <v>2018</v>
      </c>
      <c r="C103">
        <v>242372</v>
      </c>
      <c r="D103" t="s">
        <v>36</v>
      </c>
      <c r="E103" t="s">
        <v>72</v>
      </c>
      <c r="F103">
        <v>93.052999999999997</v>
      </c>
      <c r="G103" t="s">
        <v>113</v>
      </c>
      <c r="H103" s="13">
        <v>96486</v>
      </c>
      <c r="I103" t="s">
        <v>75</v>
      </c>
      <c r="J103" t="s">
        <v>114</v>
      </c>
      <c r="K103">
        <v>96486</v>
      </c>
    </row>
    <row r="104" spans="1:11" x14ac:dyDescent="0.25">
      <c r="A104" t="s">
        <v>147</v>
      </c>
      <c r="B104">
        <v>2018</v>
      </c>
      <c r="C104">
        <v>242372</v>
      </c>
      <c r="D104" t="s">
        <v>36</v>
      </c>
      <c r="E104" t="s">
        <v>72</v>
      </c>
      <c r="F104">
        <v>93.6</v>
      </c>
      <c r="G104" t="s">
        <v>98</v>
      </c>
      <c r="H104" s="13">
        <v>1569118</v>
      </c>
      <c r="I104" t="s">
        <v>75</v>
      </c>
      <c r="J104" t="s">
        <v>99</v>
      </c>
      <c r="K104">
        <v>1569118</v>
      </c>
    </row>
    <row r="105" spans="1:11" x14ac:dyDescent="0.25">
      <c r="A105" t="s">
        <v>147</v>
      </c>
      <c r="B105">
        <v>2018</v>
      </c>
      <c r="C105">
        <v>242372</v>
      </c>
      <c r="D105" t="s">
        <v>36</v>
      </c>
      <c r="E105" t="s">
        <v>72</v>
      </c>
      <c r="F105">
        <v>93.667000000000002</v>
      </c>
      <c r="G105" t="s">
        <v>101</v>
      </c>
      <c r="H105" s="13">
        <v>36730</v>
      </c>
      <c r="I105" t="s">
        <v>75</v>
      </c>
      <c r="J105" t="s">
        <v>102</v>
      </c>
      <c r="K105">
        <v>36730</v>
      </c>
    </row>
    <row r="106" spans="1:11" x14ac:dyDescent="0.25">
      <c r="A106" t="s">
        <v>71</v>
      </c>
      <c r="B106">
        <v>2018</v>
      </c>
      <c r="C106">
        <v>13905</v>
      </c>
      <c r="D106" t="s">
        <v>37</v>
      </c>
      <c r="E106" t="s">
        <v>72</v>
      </c>
      <c r="F106">
        <v>14.241</v>
      </c>
      <c r="G106" t="s">
        <v>94</v>
      </c>
      <c r="H106" s="13">
        <v>3917774</v>
      </c>
      <c r="I106" t="s">
        <v>75</v>
      </c>
      <c r="J106" t="s">
        <v>95</v>
      </c>
      <c r="K106">
        <v>359413</v>
      </c>
    </row>
    <row r="107" spans="1:11" x14ac:dyDescent="0.25">
      <c r="A107" t="s">
        <v>71</v>
      </c>
      <c r="B107">
        <v>2018</v>
      </c>
      <c r="C107">
        <v>13905</v>
      </c>
      <c r="D107" t="s">
        <v>37</v>
      </c>
      <c r="E107" t="s">
        <v>72</v>
      </c>
      <c r="F107">
        <v>14.266999999999999</v>
      </c>
      <c r="G107" t="e">
        <v>#N/A</v>
      </c>
      <c r="H107" s="13">
        <v>1159895</v>
      </c>
      <c r="I107" t="s">
        <v>72</v>
      </c>
      <c r="J107" t="s">
        <v>96</v>
      </c>
      <c r="K107">
        <v>1159895</v>
      </c>
    </row>
    <row r="108" spans="1:11" x14ac:dyDescent="0.25">
      <c r="A108" t="s">
        <v>71</v>
      </c>
      <c r="B108">
        <v>2018</v>
      </c>
      <c r="C108">
        <v>13905</v>
      </c>
      <c r="D108" t="s">
        <v>37</v>
      </c>
      <c r="E108" t="s">
        <v>72</v>
      </c>
      <c r="F108">
        <v>93.224000000000004</v>
      </c>
      <c r="G108" t="e">
        <v>#N/A</v>
      </c>
      <c r="H108" s="13">
        <v>755503</v>
      </c>
      <c r="I108" t="s">
        <v>72</v>
      </c>
      <c r="J108" t="s">
        <v>155</v>
      </c>
      <c r="K108">
        <v>755503</v>
      </c>
    </row>
    <row r="109" spans="1:11" x14ac:dyDescent="0.25">
      <c r="A109" t="s">
        <v>71</v>
      </c>
      <c r="B109">
        <v>2018</v>
      </c>
      <c r="C109">
        <v>13905</v>
      </c>
      <c r="D109" t="s">
        <v>37</v>
      </c>
      <c r="E109" t="s">
        <v>72</v>
      </c>
      <c r="F109">
        <v>93.242999999999995</v>
      </c>
      <c r="G109" t="e">
        <v>#N/A</v>
      </c>
      <c r="H109" s="13">
        <v>195501</v>
      </c>
      <c r="I109" t="s">
        <v>72</v>
      </c>
      <c r="J109" t="s">
        <v>81</v>
      </c>
      <c r="K109">
        <v>195501</v>
      </c>
    </row>
    <row r="110" spans="1:11" x14ac:dyDescent="0.25">
      <c r="A110" t="s">
        <v>71</v>
      </c>
      <c r="B110">
        <v>2018</v>
      </c>
      <c r="C110">
        <v>13905</v>
      </c>
      <c r="D110" t="s">
        <v>37</v>
      </c>
      <c r="E110" t="s">
        <v>72</v>
      </c>
      <c r="F110">
        <v>93.527000000000001</v>
      </c>
      <c r="G110" t="e">
        <v>#N/A</v>
      </c>
      <c r="H110" s="13">
        <v>2082355</v>
      </c>
      <c r="I110" t="s">
        <v>72</v>
      </c>
      <c r="J110" t="s">
        <v>156</v>
      </c>
      <c r="K110">
        <v>2082355</v>
      </c>
    </row>
    <row r="111" spans="1:11" x14ac:dyDescent="0.25">
      <c r="A111" t="s">
        <v>71</v>
      </c>
      <c r="B111">
        <v>2018</v>
      </c>
      <c r="C111">
        <v>13905</v>
      </c>
      <c r="D111" t="s">
        <v>37</v>
      </c>
      <c r="E111" t="s">
        <v>72</v>
      </c>
      <c r="F111">
        <v>93.558000000000007</v>
      </c>
      <c r="G111" t="s">
        <v>82</v>
      </c>
      <c r="H111" s="13">
        <v>1720481</v>
      </c>
      <c r="I111" t="s">
        <v>75</v>
      </c>
      <c r="J111" t="s">
        <v>83</v>
      </c>
      <c r="K111">
        <v>1325150</v>
      </c>
    </row>
    <row r="112" spans="1:11" x14ac:dyDescent="0.25">
      <c r="A112" t="s">
        <v>71</v>
      </c>
      <c r="B112">
        <v>2018</v>
      </c>
      <c r="C112">
        <v>13905</v>
      </c>
      <c r="D112" t="s">
        <v>37</v>
      </c>
      <c r="E112" t="s">
        <v>72</v>
      </c>
      <c r="F112">
        <v>93.914000000000001</v>
      </c>
      <c r="G112" t="e">
        <v>#N/A</v>
      </c>
      <c r="H112" s="13">
        <v>1982679</v>
      </c>
      <c r="I112" t="s">
        <v>72</v>
      </c>
      <c r="J112" t="s">
        <v>84</v>
      </c>
      <c r="K112">
        <v>76670</v>
      </c>
    </row>
    <row r="113" spans="1:11" x14ac:dyDescent="0.25">
      <c r="A113" t="s">
        <v>71</v>
      </c>
      <c r="B113">
        <v>2018</v>
      </c>
      <c r="C113">
        <v>13905</v>
      </c>
      <c r="D113" t="s">
        <v>37</v>
      </c>
      <c r="E113" t="s">
        <v>72</v>
      </c>
      <c r="F113">
        <v>93.924000000000007</v>
      </c>
      <c r="G113" t="e">
        <v>#N/A</v>
      </c>
      <c r="H113" s="13">
        <v>141134</v>
      </c>
      <c r="I113" t="s">
        <v>72</v>
      </c>
      <c r="J113" t="s">
        <v>157</v>
      </c>
      <c r="K113">
        <v>141134</v>
      </c>
    </row>
    <row r="114" spans="1:11" x14ac:dyDescent="0.25">
      <c r="A114" t="s">
        <v>89</v>
      </c>
      <c r="B114">
        <v>2018</v>
      </c>
      <c r="C114">
        <v>10512</v>
      </c>
      <c r="D114" t="s">
        <v>38</v>
      </c>
      <c r="E114" t="s">
        <v>75</v>
      </c>
      <c r="F114">
        <v>10.558</v>
      </c>
      <c r="G114" t="s">
        <v>74</v>
      </c>
      <c r="H114" s="13">
        <v>160974</v>
      </c>
      <c r="I114" t="s">
        <v>75</v>
      </c>
      <c r="J114" t="s">
        <v>76</v>
      </c>
      <c r="K114">
        <v>160974</v>
      </c>
    </row>
    <row r="115" spans="1:11" x14ac:dyDescent="0.25">
      <c r="A115" t="s">
        <v>89</v>
      </c>
      <c r="B115">
        <v>2018</v>
      </c>
      <c r="C115">
        <v>10512</v>
      </c>
      <c r="D115" t="s">
        <v>38</v>
      </c>
      <c r="E115" t="s">
        <v>75</v>
      </c>
      <c r="F115">
        <v>10.561</v>
      </c>
      <c r="G115" t="s">
        <v>103</v>
      </c>
      <c r="H115" s="13">
        <v>10000</v>
      </c>
      <c r="I115" t="s">
        <v>75</v>
      </c>
      <c r="J115" t="s">
        <v>158</v>
      </c>
      <c r="K115">
        <v>10000</v>
      </c>
    </row>
    <row r="116" spans="1:11" x14ac:dyDescent="0.25">
      <c r="A116" t="s">
        <v>89</v>
      </c>
      <c r="B116">
        <v>2018</v>
      </c>
      <c r="C116">
        <v>10512</v>
      </c>
      <c r="D116" t="s">
        <v>38</v>
      </c>
      <c r="E116" t="s">
        <v>75</v>
      </c>
      <c r="F116">
        <v>14.218</v>
      </c>
      <c r="G116" t="s">
        <v>122</v>
      </c>
      <c r="H116" s="13">
        <v>75119</v>
      </c>
      <c r="I116" t="s">
        <v>75</v>
      </c>
      <c r="J116" t="s">
        <v>123</v>
      </c>
      <c r="K116">
        <v>75119</v>
      </c>
    </row>
    <row r="117" spans="1:11" x14ac:dyDescent="0.25">
      <c r="A117" t="s">
        <v>89</v>
      </c>
      <c r="B117">
        <v>2018</v>
      </c>
      <c r="C117">
        <v>10512</v>
      </c>
      <c r="D117" t="s">
        <v>38</v>
      </c>
      <c r="E117" t="s">
        <v>75</v>
      </c>
      <c r="F117">
        <v>14.239000000000001</v>
      </c>
      <c r="G117" t="e">
        <v>#N/A</v>
      </c>
      <c r="H117" s="13">
        <v>5013173</v>
      </c>
      <c r="I117" t="s">
        <v>72</v>
      </c>
      <c r="J117" t="s">
        <v>159</v>
      </c>
      <c r="K117">
        <v>5013173</v>
      </c>
    </row>
    <row r="118" spans="1:11" x14ac:dyDescent="0.25">
      <c r="A118" t="s">
        <v>89</v>
      </c>
      <c r="B118">
        <v>2018</v>
      </c>
      <c r="C118">
        <v>10512</v>
      </c>
      <c r="D118" t="s">
        <v>38</v>
      </c>
      <c r="E118" t="s">
        <v>75</v>
      </c>
      <c r="F118">
        <v>14.266999999999999</v>
      </c>
      <c r="G118" t="e">
        <v>#N/A</v>
      </c>
      <c r="H118" s="13">
        <v>544935</v>
      </c>
      <c r="I118" t="s">
        <v>72</v>
      </c>
      <c r="J118" t="s">
        <v>96</v>
      </c>
      <c r="K118">
        <v>102951</v>
      </c>
    </row>
    <row r="119" spans="1:11" x14ac:dyDescent="0.25">
      <c r="A119" t="s">
        <v>89</v>
      </c>
      <c r="B119">
        <v>2018</v>
      </c>
      <c r="C119">
        <v>10512</v>
      </c>
      <c r="D119" t="s">
        <v>38</v>
      </c>
      <c r="E119" t="s">
        <v>75</v>
      </c>
      <c r="F119">
        <v>14.269</v>
      </c>
      <c r="G119" t="e">
        <v>#N/A</v>
      </c>
      <c r="H119" s="13">
        <v>104649</v>
      </c>
      <c r="I119" t="s">
        <v>72</v>
      </c>
      <c r="J119" t="s">
        <v>160</v>
      </c>
      <c r="K119">
        <v>104649</v>
      </c>
    </row>
    <row r="120" spans="1:11" x14ac:dyDescent="0.25">
      <c r="A120" t="s">
        <v>89</v>
      </c>
      <c r="B120">
        <v>2018</v>
      </c>
      <c r="C120">
        <v>10512</v>
      </c>
      <c r="D120" t="s">
        <v>38</v>
      </c>
      <c r="E120" t="s">
        <v>75</v>
      </c>
      <c r="F120">
        <v>45.164000000000001</v>
      </c>
      <c r="G120" t="e">
        <v>#N/A</v>
      </c>
      <c r="H120" s="13">
        <v>72872</v>
      </c>
      <c r="I120" t="s">
        <v>72</v>
      </c>
      <c r="J120" t="s">
        <v>161</v>
      </c>
      <c r="K120">
        <v>72872</v>
      </c>
    </row>
    <row r="121" spans="1:11" x14ac:dyDescent="0.25">
      <c r="A121" t="s">
        <v>89</v>
      </c>
      <c r="B121">
        <v>2018</v>
      </c>
      <c r="C121">
        <v>10512</v>
      </c>
      <c r="D121" t="s">
        <v>38</v>
      </c>
      <c r="E121" t="s">
        <v>75</v>
      </c>
      <c r="F121">
        <v>84.287000000000006</v>
      </c>
      <c r="G121" t="e">
        <v>#N/A</v>
      </c>
      <c r="H121" s="13">
        <v>768000</v>
      </c>
      <c r="I121" t="s">
        <v>72</v>
      </c>
      <c r="J121" t="s">
        <v>127</v>
      </c>
      <c r="K121">
        <v>768000</v>
      </c>
    </row>
    <row r="122" spans="1:11" x14ac:dyDescent="0.25">
      <c r="A122" t="s">
        <v>89</v>
      </c>
      <c r="B122">
        <v>2018</v>
      </c>
      <c r="C122">
        <v>10512</v>
      </c>
      <c r="D122" t="s">
        <v>38</v>
      </c>
      <c r="E122" t="s">
        <v>75</v>
      </c>
      <c r="F122">
        <v>93.043999999999997</v>
      </c>
      <c r="G122" t="s">
        <v>109</v>
      </c>
      <c r="H122" s="13">
        <v>19748</v>
      </c>
      <c r="I122" t="s">
        <v>75</v>
      </c>
      <c r="J122" t="s">
        <v>132</v>
      </c>
      <c r="K122">
        <v>19748</v>
      </c>
    </row>
    <row r="123" spans="1:11" x14ac:dyDescent="0.25">
      <c r="A123" t="s">
        <v>89</v>
      </c>
      <c r="B123">
        <v>2018</v>
      </c>
      <c r="C123">
        <v>10512</v>
      </c>
      <c r="D123" t="s">
        <v>38</v>
      </c>
      <c r="E123" t="s">
        <v>75</v>
      </c>
      <c r="F123">
        <v>93.045000000000002</v>
      </c>
      <c r="G123" t="s">
        <v>111</v>
      </c>
      <c r="H123" s="13">
        <v>534262</v>
      </c>
      <c r="I123" t="s">
        <v>75</v>
      </c>
      <c r="J123" t="s">
        <v>149</v>
      </c>
      <c r="K123">
        <v>466481</v>
      </c>
    </row>
    <row r="124" spans="1:11" x14ac:dyDescent="0.25">
      <c r="A124" t="s">
        <v>89</v>
      </c>
      <c r="B124">
        <v>2018</v>
      </c>
      <c r="C124">
        <v>10512</v>
      </c>
      <c r="D124" t="s">
        <v>38</v>
      </c>
      <c r="E124" t="s">
        <v>75</v>
      </c>
      <c r="F124">
        <v>93.052999999999997</v>
      </c>
      <c r="G124" t="s">
        <v>113</v>
      </c>
      <c r="H124" s="13">
        <v>288445</v>
      </c>
      <c r="I124" t="s">
        <v>75</v>
      </c>
      <c r="J124" t="s">
        <v>114</v>
      </c>
      <c r="K124">
        <v>256723</v>
      </c>
    </row>
    <row r="125" spans="1:11" x14ac:dyDescent="0.25">
      <c r="A125" t="s">
        <v>89</v>
      </c>
      <c r="B125">
        <v>2018</v>
      </c>
      <c r="C125">
        <v>10512</v>
      </c>
      <c r="D125" t="s">
        <v>38</v>
      </c>
      <c r="E125" t="s">
        <v>75</v>
      </c>
      <c r="F125">
        <v>93.558000000000007</v>
      </c>
      <c r="G125" t="s">
        <v>82</v>
      </c>
      <c r="H125" s="13">
        <v>4172936</v>
      </c>
      <c r="I125" t="s">
        <v>75</v>
      </c>
      <c r="J125" t="s">
        <v>83</v>
      </c>
      <c r="K125">
        <v>1790646</v>
      </c>
    </row>
    <row r="126" spans="1:11" x14ac:dyDescent="0.25">
      <c r="A126" t="s">
        <v>89</v>
      </c>
      <c r="B126">
        <v>2018</v>
      </c>
      <c r="C126">
        <v>10512</v>
      </c>
      <c r="D126" t="s">
        <v>38</v>
      </c>
      <c r="E126" t="s">
        <v>75</v>
      </c>
      <c r="F126">
        <v>93.569000000000003</v>
      </c>
      <c r="G126" t="s">
        <v>90</v>
      </c>
      <c r="H126" s="13">
        <v>109115</v>
      </c>
      <c r="I126" t="s">
        <v>75</v>
      </c>
      <c r="J126" t="s">
        <v>91</v>
      </c>
      <c r="K126">
        <v>73867</v>
      </c>
    </row>
    <row r="127" spans="1:11" x14ac:dyDescent="0.25">
      <c r="A127" t="s">
        <v>89</v>
      </c>
      <c r="B127">
        <v>2018</v>
      </c>
      <c r="C127">
        <v>10512</v>
      </c>
      <c r="D127" t="s">
        <v>38</v>
      </c>
      <c r="E127" t="s">
        <v>75</v>
      </c>
      <c r="F127">
        <v>93.6</v>
      </c>
      <c r="G127" t="s">
        <v>98</v>
      </c>
      <c r="H127" s="13">
        <v>547410</v>
      </c>
      <c r="I127" t="s">
        <v>75</v>
      </c>
      <c r="J127" t="s">
        <v>99</v>
      </c>
      <c r="K127">
        <v>547410</v>
      </c>
    </row>
    <row r="128" spans="1:11" x14ac:dyDescent="0.25">
      <c r="A128" t="s">
        <v>89</v>
      </c>
      <c r="B128">
        <v>2018</v>
      </c>
      <c r="C128">
        <v>10512</v>
      </c>
      <c r="D128" t="s">
        <v>38</v>
      </c>
      <c r="E128" t="s">
        <v>75</v>
      </c>
      <c r="F128">
        <v>93.667000000000002</v>
      </c>
      <c r="G128" t="s">
        <v>101</v>
      </c>
      <c r="H128" s="13">
        <v>830932</v>
      </c>
      <c r="I128" t="s">
        <v>75</v>
      </c>
      <c r="J128" t="s">
        <v>102</v>
      </c>
      <c r="K128">
        <v>111860</v>
      </c>
    </row>
    <row r="129" spans="1:11" x14ac:dyDescent="0.25">
      <c r="A129" t="s">
        <v>89</v>
      </c>
      <c r="B129">
        <v>2018</v>
      </c>
      <c r="C129">
        <v>10512</v>
      </c>
      <c r="D129" t="s">
        <v>38</v>
      </c>
      <c r="E129" t="s">
        <v>75</v>
      </c>
      <c r="F129">
        <v>93.671000000000006</v>
      </c>
      <c r="G129" t="e">
        <v>#N/A</v>
      </c>
      <c r="H129" s="13">
        <v>92235</v>
      </c>
      <c r="I129" t="s">
        <v>72</v>
      </c>
      <c r="J129" t="s">
        <v>162</v>
      </c>
      <c r="K129">
        <v>92235</v>
      </c>
    </row>
    <row r="130" spans="1:11" x14ac:dyDescent="0.25">
      <c r="A130" t="s">
        <v>89</v>
      </c>
      <c r="B130">
        <v>2018</v>
      </c>
      <c r="C130">
        <v>10512</v>
      </c>
      <c r="D130" t="s">
        <v>38</v>
      </c>
      <c r="E130" t="s">
        <v>75</v>
      </c>
      <c r="F130">
        <v>94.016000000000005</v>
      </c>
      <c r="G130" t="e">
        <v>#N/A</v>
      </c>
      <c r="H130" s="13">
        <v>472441</v>
      </c>
      <c r="I130" t="s">
        <v>72</v>
      </c>
      <c r="J130" t="s">
        <v>163</v>
      </c>
      <c r="K130">
        <v>472441</v>
      </c>
    </row>
    <row r="131" spans="1:11" x14ac:dyDescent="0.25">
      <c r="A131" t="s">
        <v>89</v>
      </c>
      <c r="B131">
        <v>2018</v>
      </c>
      <c r="C131">
        <v>10512</v>
      </c>
      <c r="D131" t="s">
        <v>38</v>
      </c>
      <c r="E131" t="s">
        <v>75</v>
      </c>
      <c r="F131">
        <v>97.024000000000001</v>
      </c>
      <c r="G131" t="s">
        <v>87</v>
      </c>
      <c r="H131" s="13">
        <v>22000</v>
      </c>
      <c r="I131" t="s">
        <v>75</v>
      </c>
      <c r="J131" t="s">
        <v>88</v>
      </c>
      <c r="K131">
        <v>22000</v>
      </c>
    </row>
    <row r="132" spans="1:11" x14ac:dyDescent="0.25">
      <c r="A132" t="s">
        <v>147</v>
      </c>
      <c r="B132">
        <v>2018</v>
      </c>
      <c r="C132">
        <v>190374</v>
      </c>
      <c r="D132" t="s">
        <v>39</v>
      </c>
      <c r="E132" t="s">
        <v>72</v>
      </c>
      <c r="F132">
        <v>10.558</v>
      </c>
      <c r="G132" t="s">
        <v>74</v>
      </c>
      <c r="H132" s="13">
        <v>1032143</v>
      </c>
      <c r="I132" t="s">
        <v>75</v>
      </c>
      <c r="J132" t="s">
        <v>76</v>
      </c>
      <c r="K132">
        <v>316360</v>
      </c>
    </row>
    <row r="133" spans="1:11" x14ac:dyDescent="0.25">
      <c r="A133" t="s">
        <v>147</v>
      </c>
      <c r="B133">
        <v>2018</v>
      </c>
      <c r="C133">
        <v>190374</v>
      </c>
      <c r="D133" t="s">
        <v>39</v>
      </c>
      <c r="E133" t="s">
        <v>72</v>
      </c>
      <c r="F133">
        <v>93.6</v>
      </c>
      <c r="G133" t="s">
        <v>98</v>
      </c>
      <c r="H133" s="13">
        <v>1366054</v>
      </c>
      <c r="I133" t="s">
        <v>75</v>
      </c>
      <c r="J133" t="s">
        <v>99</v>
      </c>
      <c r="K133">
        <v>1366054</v>
      </c>
    </row>
    <row r="134" spans="1:11" x14ac:dyDescent="0.25">
      <c r="A134" t="s">
        <v>147</v>
      </c>
      <c r="B134">
        <v>2018</v>
      </c>
      <c r="C134">
        <v>236052</v>
      </c>
      <c r="D134" t="s">
        <v>40</v>
      </c>
      <c r="E134" t="s">
        <v>72</v>
      </c>
      <c r="F134">
        <v>14.234999999999999</v>
      </c>
      <c r="G134" t="e">
        <v>#N/A</v>
      </c>
      <c r="H134" s="13">
        <v>2156669</v>
      </c>
      <c r="I134" t="s">
        <v>72</v>
      </c>
      <c r="J134" t="s">
        <v>139</v>
      </c>
      <c r="K134">
        <v>2156669</v>
      </c>
    </row>
    <row r="135" spans="1:11" x14ac:dyDescent="0.25">
      <c r="A135" t="s">
        <v>147</v>
      </c>
      <c r="B135">
        <v>2018</v>
      </c>
      <c r="C135">
        <v>236052</v>
      </c>
      <c r="D135" t="s">
        <v>40</v>
      </c>
      <c r="E135" t="s">
        <v>72</v>
      </c>
      <c r="F135">
        <v>14.238</v>
      </c>
      <c r="G135" t="e">
        <v>#N/A</v>
      </c>
      <c r="H135" s="13">
        <v>237465</v>
      </c>
      <c r="I135" t="s">
        <v>72</v>
      </c>
      <c r="J135" t="s">
        <v>164</v>
      </c>
      <c r="K135">
        <v>237465</v>
      </c>
    </row>
    <row r="136" spans="1:11" x14ac:dyDescent="0.25">
      <c r="A136" t="s">
        <v>93</v>
      </c>
      <c r="B136">
        <v>2018</v>
      </c>
      <c r="C136">
        <v>15209</v>
      </c>
      <c r="D136" t="s">
        <v>41</v>
      </c>
      <c r="E136" t="s">
        <v>72</v>
      </c>
      <c r="F136">
        <v>10.558</v>
      </c>
      <c r="G136" t="s">
        <v>74</v>
      </c>
      <c r="H136" s="13">
        <v>220131</v>
      </c>
      <c r="I136" t="s">
        <v>75</v>
      </c>
      <c r="J136" t="s">
        <v>76</v>
      </c>
      <c r="K136">
        <v>220131</v>
      </c>
    </row>
    <row r="137" spans="1:11" x14ac:dyDescent="0.25">
      <c r="A137" t="s">
        <v>93</v>
      </c>
      <c r="B137">
        <v>2018</v>
      </c>
      <c r="C137">
        <v>15209</v>
      </c>
      <c r="D137" t="s">
        <v>41</v>
      </c>
      <c r="E137" t="s">
        <v>72</v>
      </c>
      <c r="F137">
        <v>84.287000000000006</v>
      </c>
      <c r="G137" t="e">
        <v>#N/A</v>
      </c>
      <c r="H137" s="13">
        <v>40673</v>
      </c>
      <c r="I137" t="s">
        <v>72</v>
      </c>
      <c r="J137" t="s">
        <v>127</v>
      </c>
      <c r="K137">
        <v>40673</v>
      </c>
    </row>
    <row r="138" spans="1:11" x14ac:dyDescent="0.25">
      <c r="A138" t="s">
        <v>93</v>
      </c>
      <c r="B138">
        <v>2018</v>
      </c>
      <c r="C138">
        <v>15209</v>
      </c>
      <c r="D138" t="s">
        <v>41</v>
      </c>
      <c r="E138" t="s">
        <v>72</v>
      </c>
      <c r="F138">
        <v>93.043000000000006</v>
      </c>
      <c r="G138" t="s">
        <v>165</v>
      </c>
      <c r="H138" s="13">
        <v>48325</v>
      </c>
      <c r="I138" t="s">
        <v>75</v>
      </c>
      <c r="J138" t="s">
        <v>166</v>
      </c>
      <c r="K138">
        <v>48325</v>
      </c>
    </row>
    <row r="139" spans="1:11" x14ac:dyDescent="0.25">
      <c r="A139" t="s">
        <v>93</v>
      </c>
      <c r="B139">
        <v>2018</v>
      </c>
      <c r="C139">
        <v>15209</v>
      </c>
      <c r="D139" t="s">
        <v>41</v>
      </c>
      <c r="E139" t="s">
        <v>72</v>
      </c>
      <c r="F139">
        <v>93.043999999999997</v>
      </c>
      <c r="G139" t="s">
        <v>109</v>
      </c>
      <c r="H139" s="13">
        <v>16016</v>
      </c>
      <c r="I139" t="s">
        <v>75</v>
      </c>
      <c r="J139" t="s">
        <v>167</v>
      </c>
      <c r="K139">
        <v>16016</v>
      </c>
    </row>
    <row r="140" spans="1:11" x14ac:dyDescent="0.25">
      <c r="A140" t="s">
        <v>93</v>
      </c>
      <c r="B140">
        <v>2018</v>
      </c>
      <c r="C140">
        <v>15209</v>
      </c>
      <c r="D140" t="s">
        <v>41</v>
      </c>
      <c r="E140" t="s">
        <v>72</v>
      </c>
      <c r="F140">
        <v>93.045000000000002</v>
      </c>
      <c r="G140" t="s">
        <v>111</v>
      </c>
      <c r="H140" s="13">
        <v>133411</v>
      </c>
      <c r="I140" t="s">
        <v>75</v>
      </c>
      <c r="J140" t="s">
        <v>149</v>
      </c>
      <c r="K140">
        <v>133411</v>
      </c>
    </row>
    <row r="141" spans="1:11" x14ac:dyDescent="0.25">
      <c r="A141" t="s">
        <v>93</v>
      </c>
      <c r="B141">
        <v>2018</v>
      </c>
      <c r="C141">
        <v>15209</v>
      </c>
      <c r="D141" t="s">
        <v>41</v>
      </c>
      <c r="E141" t="s">
        <v>72</v>
      </c>
      <c r="F141">
        <v>93.052999999999997</v>
      </c>
      <c r="G141" t="s">
        <v>113</v>
      </c>
      <c r="H141" s="13">
        <v>21836</v>
      </c>
      <c r="I141" t="s">
        <v>75</v>
      </c>
      <c r="J141" t="s">
        <v>114</v>
      </c>
      <c r="K141">
        <v>21836</v>
      </c>
    </row>
    <row r="142" spans="1:11" x14ac:dyDescent="0.25">
      <c r="A142" t="s">
        <v>93</v>
      </c>
      <c r="B142">
        <v>2018</v>
      </c>
      <c r="C142">
        <v>15209</v>
      </c>
      <c r="D142" t="s">
        <v>41</v>
      </c>
      <c r="E142" t="s">
        <v>72</v>
      </c>
      <c r="F142">
        <v>93.558000000000007</v>
      </c>
      <c r="G142" t="s">
        <v>82</v>
      </c>
      <c r="H142" s="13">
        <v>35244</v>
      </c>
      <c r="I142" t="s">
        <v>75</v>
      </c>
      <c r="J142" t="s">
        <v>83</v>
      </c>
      <c r="K142">
        <v>35244</v>
      </c>
    </row>
    <row r="143" spans="1:11" x14ac:dyDescent="0.25">
      <c r="A143" t="s">
        <v>93</v>
      </c>
      <c r="B143">
        <v>2018</v>
      </c>
      <c r="C143">
        <v>15209</v>
      </c>
      <c r="D143" t="s">
        <v>41</v>
      </c>
      <c r="E143" t="s">
        <v>72</v>
      </c>
      <c r="F143">
        <v>93.6</v>
      </c>
      <c r="G143" t="s">
        <v>98</v>
      </c>
      <c r="H143" s="13">
        <v>1504652</v>
      </c>
      <c r="I143" t="s">
        <v>75</v>
      </c>
      <c r="J143" t="s">
        <v>99</v>
      </c>
      <c r="K143">
        <v>938456</v>
      </c>
    </row>
    <row r="144" spans="1:11" x14ac:dyDescent="0.25">
      <c r="A144" t="s">
        <v>93</v>
      </c>
      <c r="B144">
        <v>2018</v>
      </c>
      <c r="C144">
        <v>15209</v>
      </c>
      <c r="D144" t="s">
        <v>41</v>
      </c>
      <c r="E144" t="s">
        <v>72</v>
      </c>
      <c r="F144">
        <v>93.667000000000002</v>
      </c>
      <c r="G144" t="s">
        <v>101</v>
      </c>
      <c r="H144" s="13">
        <v>123616</v>
      </c>
      <c r="I144" t="s">
        <v>75</v>
      </c>
      <c r="J144" t="s">
        <v>102</v>
      </c>
      <c r="K144">
        <v>123616</v>
      </c>
    </row>
    <row r="145" spans="1:11" x14ac:dyDescent="0.25">
      <c r="A145" t="s">
        <v>93</v>
      </c>
      <c r="B145">
        <v>2018</v>
      </c>
      <c r="C145">
        <v>15209</v>
      </c>
      <c r="D145" t="s">
        <v>41</v>
      </c>
      <c r="E145" t="s">
        <v>72</v>
      </c>
      <c r="F145">
        <v>94.019000000000005</v>
      </c>
      <c r="G145" t="e">
        <v>#N/A</v>
      </c>
      <c r="H145" s="13">
        <v>93989</v>
      </c>
      <c r="I145" t="s">
        <v>72</v>
      </c>
      <c r="J145" t="s">
        <v>146</v>
      </c>
      <c r="K145">
        <v>93989</v>
      </c>
    </row>
    <row r="146" spans="1:11" x14ac:dyDescent="0.25">
      <c r="A146" t="s">
        <v>93</v>
      </c>
      <c r="B146">
        <v>2018</v>
      </c>
      <c r="C146">
        <v>72200</v>
      </c>
      <c r="D146" t="s">
        <v>42</v>
      </c>
      <c r="E146" t="s">
        <v>72</v>
      </c>
      <c r="F146">
        <v>16.574999999999999</v>
      </c>
      <c r="G146" t="e">
        <v>#N/A</v>
      </c>
      <c r="H146" s="13">
        <v>224790</v>
      </c>
      <c r="I146" t="s">
        <v>72</v>
      </c>
      <c r="J146" t="s">
        <v>100</v>
      </c>
      <c r="K146">
        <v>224790</v>
      </c>
    </row>
    <row r="147" spans="1:11" x14ac:dyDescent="0.25">
      <c r="A147" t="s">
        <v>93</v>
      </c>
      <c r="B147">
        <v>2018</v>
      </c>
      <c r="C147">
        <v>72200</v>
      </c>
      <c r="D147" t="s">
        <v>42</v>
      </c>
      <c r="E147" t="s">
        <v>72</v>
      </c>
      <c r="F147">
        <v>17.234999999999999</v>
      </c>
      <c r="G147" t="s">
        <v>105</v>
      </c>
      <c r="H147" s="13">
        <v>586200</v>
      </c>
      <c r="I147" t="s">
        <v>75</v>
      </c>
      <c r="J147" t="s">
        <v>106</v>
      </c>
      <c r="K147">
        <v>586200</v>
      </c>
    </row>
    <row r="148" spans="1:11" x14ac:dyDescent="0.25">
      <c r="A148" t="s">
        <v>93</v>
      </c>
      <c r="B148">
        <v>2018</v>
      </c>
      <c r="C148">
        <v>72200</v>
      </c>
      <c r="D148" t="s">
        <v>42</v>
      </c>
      <c r="E148" t="s">
        <v>72</v>
      </c>
      <c r="F148">
        <v>93.043999999999997</v>
      </c>
      <c r="G148" t="s">
        <v>109</v>
      </c>
      <c r="H148" s="13">
        <v>67408</v>
      </c>
      <c r="I148" t="s">
        <v>75</v>
      </c>
      <c r="J148" t="s">
        <v>167</v>
      </c>
      <c r="K148">
        <v>67408</v>
      </c>
    </row>
    <row r="149" spans="1:11" x14ac:dyDescent="0.25">
      <c r="A149" t="s">
        <v>93</v>
      </c>
      <c r="B149">
        <v>2018</v>
      </c>
      <c r="C149">
        <v>72200</v>
      </c>
      <c r="D149" t="s">
        <v>42</v>
      </c>
      <c r="E149" t="s">
        <v>72</v>
      </c>
      <c r="F149">
        <v>93.045000000000002</v>
      </c>
      <c r="G149" t="s">
        <v>111</v>
      </c>
      <c r="H149" s="13">
        <v>148550</v>
      </c>
      <c r="I149" t="s">
        <v>75</v>
      </c>
      <c r="J149" t="s">
        <v>149</v>
      </c>
      <c r="K149">
        <v>148550</v>
      </c>
    </row>
    <row r="150" spans="1:11" x14ac:dyDescent="0.25">
      <c r="A150" t="s">
        <v>93</v>
      </c>
      <c r="B150">
        <v>2018</v>
      </c>
      <c r="C150">
        <v>72200</v>
      </c>
      <c r="D150" t="s">
        <v>42</v>
      </c>
      <c r="E150" t="s">
        <v>72</v>
      </c>
      <c r="F150">
        <v>93.052999999999997</v>
      </c>
      <c r="G150" t="s">
        <v>113</v>
      </c>
      <c r="H150" s="13">
        <v>52532</v>
      </c>
      <c r="I150" t="s">
        <v>75</v>
      </c>
      <c r="J150" t="s">
        <v>114</v>
      </c>
      <c r="K150">
        <v>52532</v>
      </c>
    </row>
    <row r="151" spans="1:11" x14ac:dyDescent="0.25">
      <c r="A151" t="s">
        <v>93</v>
      </c>
      <c r="B151">
        <v>2018</v>
      </c>
      <c r="C151">
        <v>72200</v>
      </c>
      <c r="D151" t="s">
        <v>42</v>
      </c>
      <c r="E151" t="s">
        <v>72</v>
      </c>
      <c r="F151">
        <v>93.667000000000002</v>
      </c>
      <c r="G151" t="s">
        <v>101</v>
      </c>
      <c r="H151" s="13">
        <v>365600</v>
      </c>
      <c r="I151" t="s">
        <v>75</v>
      </c>
      <c r="J151" t="s">
        <v>102</v>
      </c>
      <c r="K151">
        <v>365600</v>
      </c>
    </row>
    <row r="152" spans="1:11" x14ac:dyDescent="0.25">
      <c r="A152" t="s">
        <v>93</v>
      </c>
      <c r="B152">
        <v>2018</v>
      </c>
      <c r="C152">
        <v>72200</v>
      </c>
      <c r="D152" t="s">
        <v>42</v>
      </c>
      <c r="E152" t="s">
        <v>72</v>
      </c>
      <c r="F152">
        <v>97.024000000000001</v>
      </c>
      <c r="G152" t="s">
        <v>87</v>
      </c>
      <c r="H152" s="13">
        <v>11295</v>
      </c>
      <c r="I152" t="s">
        <v>75</v>
      </c>
      <c r="J152" t="s">
        <v>88</v>
      </c>
      <c r="K152">
        <v>11295</v>
      </c>
    </row>
    <row r="153" spans="1:11" x14ac:dyDescent="0.25">
      <c r="A153" t="s">
        <v>147</v>
      </c>
      <c r="B153">
        <v>2018</v>
      </c>
      <c r="C153">
        <v>10636</v>
      </c>
      <c r="D153" t="s">
        <v>43</v>
      </c>
      <c r="E153" t="s">
        <v>75</v>
      </c>
      <c r="F153">
        <v>10.553000000000001</v>
      </c>
      <c r="G153" t="s">
        <v>134</v>
      </c>
      <c r="H153" s="13">
        <v>132877</v>
      </c>
      <c r="I153" t="s">
        <v>75</v>
      </c>
      <c r="J153" t="s">
        <v>135</v>
      </c>
      <c r="K153">
        <v>132877</v>
      </c>
    </row>
    <row r="154" spans="1:11" x14ac:dyDescent="0.25">
      <c r="A154" t="s">
        <v>147</v>
      </c>
      <c r="B154">
        <v>2018</v>
      </c>
      <c r="C154">
        <v>10636</v>
      </c>
      <c r="D154" t="s">
        <v>43</v>
      </c>
      <c r="E154" t="s">
        <v>75</v>
      </c>
      <c r="F154">
        <v>10.555</v>
      </c>
      <c r="G154" t="s">
        <v>136</v>
      </c>
      <c r="H154" s="13">
        <v>246886</v>
      </c>
      <c r="I154" t="s">
        <v>75</v>
      </c>
      <c r="J154" t="s">
        <v>137</v>
      </c>
      <c r="K154">
        <v>246886</v>
      </c>
    </row>
    <row r="155" spans="1:11" x14ac:dyDescent="0.25">
      <c r="A155" t="s">
        <v>147</v>
      </c>
      <c r="B155">
        <v>2018</v>
      </c>
      <c r="C155">
        <v>10636</v>
      </c>
      <c r="D155" t="s">
        <v>43</v>
      </c>
      <c r="E155" t="s">
        <v>75</v>
      </c>
      <c r="F155">
        <v>84.126000000000005</v>
      </c>
      <c r="G155" t="e">
        <v>#N/A</v>
      </c>
      <c r="H155" s="13">
        <v>36582</v>
      </c>
      <c r="I155" t="s">
        <v>72</v>
      </c>
      <c r="J155" t="s">
        <v>168</v>
      </c>
      <c r="K155">
        <v>36582</v>
      </c>
    </row>
    <row r="156" spans="1:11" x14ac:dyDescent="0.25">
      <c r="A156" t="s">
        <v>147</v>
      </c>
      <c r="B156">
        <v>2018</v>
      </c>
      <c r="C156">
        <v>10636</v>
      </c>
      <c r="D156" t="s">
        <v>43</v>
      </c>
      <c r="E156" t="s">
        <v>75</v>
      </c>
      <c r="F156">
        <v>93.268000000000001</v>
      </c>
      <c r="G156" t="e">
        <v>#N/A</v>
      </c>
      <c r="H156" s="13">
        <v>57256</v>
      </c>
      <c r="I156" t="s">
        <v>72</v>
      </c>
      <c r="J156" t="s">
        <v>169</v>
      </c>
      <c r="K156">
        <v>57256</v>
      </c>
    </row>
    <row r="157" spans="1:11" x14ac:dyDescent="0.25">
      <c r="A157" t="s">
        <v>147</v>
      </c>
      <c r="B157">
        <v>2018</v>
      </c>
      <c r="C157">
        <v>10636</v>
      </c>
      <c r="D157" t="s">
        <v>43</v>
      </c>
      <c r="E157" t="s">
        <v>75</v>
      </c>
      <c r="F157">
        <v>93.296999999999997</v>
      </c>
      <c r="G157" t="e">
        <v>#N/A</v>
      </c>
      <c r="H157" s="13">
        <v>20000</v>
      </c>
      <c r="I157" t="s">
        <v>72</v>
      </c>
      <c r="J157" t="s">
        <v>133</v>
      </c>
      <c r="K157">
        <v>20000</v>
      </c>
    </row>
    <row r="158" spans="1:11" x14ac:dyDescent="0.25">
      <c r="A158" t="s">
        <v>147</v>
      </c>
      <c r="B158">
        <v>2018</v>
      </c>
      <c r="C158">
        <v>10636</v>
      </c>
      <c r="D158" t="s">
        <v>43</v>
      </c>
      <c r="E158" t="s">
        <v>75</v>
      </c>
      <c r="F158">
        <v>93.676000000000002</v>
      </c>
      <c r="G158" t="e">
        <v>#N/A</v>
      </c>
      <c r="H158" s="13">
        <v>1608929</v>
      </c>
      <c r="I158" t="s">
        <v>72</v>
      </c>
      <c r="J158" t="s">
        <v>73</v>
      </c>
      <c r="K158">
        <v>1608929</v>
      </c>
    </row>
    <row r="159" spans="1:11" x14ac:dyDescent="0.25">
      <c r="A159" t="s">
        <v>147</v>
      </c>
      <c r="B159">
        <v>2018</v>
      </c>
      <c r="C159">
        <v>10636</v>
      </c>
      <c r="D159" t="s">
        <v>43</v>
      </c>
      <c r="E159" t="s">
        <v>75</v>
      </c>
      <c r="F159">
        <v>93.778000000000006</v>
      </c>
      <c r="G159" t="s">
        <v>143</v>
      </c>
      <c r="H159" s="13">
        <v>61000</v>
      </c>
      <c r="I159" t="s">
        <v>75</v>
      </c>
      <c r="J159" t="s">
        <v>144</v>
      </c>
      <c r="K159">
        <v>61000</v>
      </c>
    </row>
    <row r="160" spans="1:11" x14ac:dyDescent="0.25">
      <c r="A160" t="s">
        <v>89</v>
      </c>
      <c r="B160">
        <v>2018</v>
      </c>
      <c r="C160">
        <v>11228</v>
      </c>
      <c r="D160" t="s">
        <v>44</v>
      </c>
      <c r="E160" t="s">
        <v>72</v>
      </c>
      <c r="F160">
        <v>10.553000000000001</v>
      </c>
      <c r="G160" t="s">
        <v>134</v>
      </c>
      <c r="H160" s="13">
        <v>91468</v>
      </c>
      <c r="I160" t="s">
        <v>75</v>
      </c>
      <c r="J160" t="s">
        <v>135</v>
      </c>
      <c r="K160">
        <v>91468</v>
      </c>
    </row>
    <row r="161" spans="1:11" x14ac:dyDescent="0.25">
      <c r="A161" t="s">
        <v>89</v>
      </c>
      <c r="B161">
        <v>2018</v>
      </c>
      <c r="C161">
        <v>11228</v>
      </c>
      <c r="D161" t="s">
        <v>44</v>
      </c>
      <c r="E161" t="s">
        <v>72</v>
      </c>
      <c r="F161">
        <v>10.555</v>
      </c>
      <c r="G161" t="s">
        <v>136</v>
      </c>
      <c r="H161" s="13">
        <v>159046</v>
      </c>
      <c r="I161" t="s">
        <v>75</v>
      </c>
      <c r="J161" t="s">
        <v>137</v>
      </c>
      <c r="K161">
        <v>159046</v>
      </c>
    </row>
    <row r="162" spans="1:11" x14ac:dyDescent="0.25">
      <c r="A162" t="s">
        <v>89</v>
      </c>
      <c r="B162">
        <v>2018</v>
      </c>
      <c r="C162">
        <v>11228</v>
      </c>
      <c r="D162" t="s">
        <v>44</v>
      </c>
      <c r="E162" t="s">
        <v>72</v>
      </c>
      <c r="F162">
        <v>10.558</v>
      </c>
      <c r="G162" t="s">
        <v>74</v>
      </c>
      <c r="H162" s="13">
        <v>163323</v>
      </c>
      <c r="I162" t="s">
        <v>75</v>
      </c>
      <c r="J162" t="s">
        <v>76</v>
      </c>
      <c r="K162">
        <v>163323</v>
      </c>
    </row>
    <row r="163" spans="1:11" x14ac:dyDescent="0.25">
      <c r="A163" t="s">
        <v>89</v>
      </c>
      <c r="B163">
        <v>2018</v>
      </c>
      <c r="C163">
        <v>11228</v>
      </c>
      <c r="D163" t="s">
        <v>44</v>
      </c>
      <c r="E163" t="s">
        <v>72</v>
      </c>
      <c r="F163">
        <v>93.6</v>
      </c>
      <c r="G163" t="s">
        <v>98</v>
      </c>
      <c r="H163" s="13">
        <v>2685573</v>
      </c>
      <c r="I163" t="s">
        <v>75</v>
      </c>
      <c r="J163" t="s">
        <v>99</v>
      </c>
      <c r="K163">
        <v>2685573</v>
      </c>
    </row>
    <row r="164" spans="1:11" x14ac:dyDescent="0.25">
      <c r="A164" t="s">
        <v>89</v>
      </c>
      <c r="B164">
        <v>2018</v>
      </c>
      <c r="C164">
        <v>11228</v>
      </c>
      <c r="D164" t="s">
        <v>44</v>
      </c>
      <c r="E164" t="s">
        <v>72</v>
      </c>
      <c r="F164">
        <v>93.676000000000002</v>
      </c>
      <c r="G164" t="e">
        <v>#N/A</v>
      </c>
      <c r="H164" s="13">
        <v>10299002</v>
      </c>
      <c r="I164" t="s">
        <v>72</v>
      </c>
      <c r="J164" t="s">
        <v>73</v>
      </c>
      <c r="K164">
        <v>10299002</v>
      </c>
    </row>
    <row r="165" spans="1:11" x14ac:dyDescent="0.25">
      <c r="A165" t="s">
        <v>89</v>
      </c>
      <c r="B165">
        <v>2018</v>
      </c>
      <c r="C165">
        <v>11228</v>
      </c>
      <c r="D165" t="s">
        <v>44</v>
      </c>
      <c r="E165" t="s">
        <v>72</v>
      </c>
      <c r="F165" t="s">
        <v>170</v>
      </c>
      <c r="G165" t="e">
        <v>#N/A</v>
      </c>
      <c r="H165" s="13">
        <v>49000</v>
      </c>
      <c r="I165" t="s">
        <v>72</v>
      </c>
      <c r="J165" t="s">
        <v>171</v>
      </c>
      <c r="K165">
        <v>49000</v>
      </c>
    </row>
    <row r="166" spans="1:11" x14ac:dyDescent="0.25">
      <c r="A166" t="s">
        <v>97</v>
      </c>
      <c r="B166">
        <v>2018</v>
      </c>
      <c r="C166">
        <v>236354</v>
      </c>
      <c r="D166" t="s">
        <v>45</v>
      </c>
      <c r="E166" t="s">
        <v>72</v>
      </c>
      <c r="F166">
        <v>21.02</v>
      </c>
      <c r="G166" t="e">
        <v>#N/A</v>
      </c>
      <c r="H166" s="13">
        <v>791750</v>
      </c>
      <c r="I166" t="s">
        <v>72</v>
      </c>
      <c r="J166" t="s">
        <v>172</v>
      </c>
      <c r="K166">
        <v>105250</v>
      </c>
    </row>
    <row r="167" spans="1:11" x14ac:dyDescent="0.25">
      <c r="A167" t="s">
        <v>89</v>
      </c>
      <c r="B167">
        <v>2018</v>
      </c>
      <c r="C167">
        <v>206549</v>
      </c>
      <c r="D167" t="s">
        <v>46</v>
      </c>
      <c r="E167" t="s">
        <v>72</v>
      </c>
      <c r="F167">
        <v>10.558</v>
      </c>
      <c r="G167" t="s">
        <v>74</v>
      </c>
      <c r="H167" s="13">
        <v>315998</v>
      </c>
      <c r="I167" t="s">
        <v>75</v>
      </c>
      <c r="J167" t="s">
        <v>76</v>
      </c>
      <c r="K167">
        <v>315998</v>
      </c>
    </row>
    <row r="168" spans="1:11" x14ac:dyDescent="0.25">
      <c r="A168" t="s">
        <v>89</v>
      </c>
      <c r="B168">
        <v>2018</v>
      </c>
      <c r="C168">
        <v>206549</v>
      </c>
      <c r="D168" t="s">
        <v>46</v>
      </c>
      <c r="E168" t="s">
        <v>72</v>
      </c>
      <c r="F168">
        <v>84.027000000000001</v>
      </c>
      <c r="G168" t="e">
        <v>#N/A</v>
      </c>
      <c r="H168" s="13">
        <v>77533</v>
      </c>
      <c r="I168" t="s">
        <v>72</v>
      </c>
      <c r="J168" t="s">
        <v>140</v>
      </c>
      <c r="K168">
        <v>77533</v>
      </c>
    </row>
    <row r="169" spans="1:11" x14ac:dyDescent="0.25">
      <c r="A169" t="s">
        <v>89</v>
      </c>
      <c r="B169">
        <v>2018</v>
      </c>
      <c r="C169">
        <v>206549</v>
      </c>
      <c r="D169" t="s">
        <v>46</v>
      </c>
      <c r="E169" t="s">
        <v>72</v>
      </c>
      <c r="F169">
        <v>84.173000000000002</v>
      </c>
      <c r="G169" t="e">
        <v>#N/A</v>
      </c>
      <c r="H169" s="13">
        <v>9355</v>
      </c>
      <c r="I169" t="s">
        <v>72</v>
      </c>
      <c r="J169" t="s">
        <v>141</v>
      </c>
      <c r="K169">
        <v>9355</v>
      </c>
    </row>
    <row r="170" spans="1:11" x14ac:dyDescent="0.25">
      <c r="A170" t="s">
        <v>89</v>
      </c>
      <c r="B170">
        <v>2018</v>
      </c>
      <c r="C170">
        <v>206549</v>
      </c>
      <c r="D170" t="s">
        <v>46</v>
      </c>
      <c r="E170" t="s">
        <v>72</v>
      </c>
      <c r="F170">
        <v>93.6</v>
      </c>
      <c r="G170" t="s">
        <v>98</v>
      </c>
      <c r="H170" s="13">
        <v>6366705</v>
      </c>
      <c r="I170" t="s">
        <v>75</v>
      </c>
      <c r="J170" t="s">
        <v>99</v>
      </c>
      <c r="K170">
        <v>797672</v>
      </c>
    </row>
    <row r="171" spans="1:11" x14ac:dyDescent="0.25">
      <c r="A171" t="s">
        <v>79</v>
      </c>
      <c r="B171">
        <v>2018</v>
      </c>
      <c r="C171">
        <v>240444</v>
      </c>
      <c r="D171" t="s">
        <v>47</v>
      </c>
      <c r="E171" t="s">
        <v>72</v>
      </c>
      <c r="F171">
        <v>84.287000000000006</v>
      </c>
      <c r="G171" t="e">
        <v>#N/A</v>
      </c>
      <c r="H171" s="13">
        <v>903220</v>
      </c>
      <c r="I171" t="s">
        <v>72</v>
      </c>
      <c r="J171" t="s">
        <v>127</v>
      </c>
      <c r="K171">
        <v>903220</v>
      </c>
    </row>
    <row r="172" spans="1:11" x14ac:dyDescent="0.25">
      <c r="A172" t="s">
        <v>93</v>
      </c>
      <c r="B172">
        <v>2018</v>
      </c>
      <c r="C172">
        <v>11921</v>
      </c>
      <c r="D172" t="s">
        <v>48</v>
      </c>
      <c r="E172" t="s">
        <v>72</v>
      </c>
      <c r="F172">
        <v>10.558</v>
      </c>
      <c r="G172" t="s">
        <v>74</v>
      </c>
      <c r="H172" s="13">
        <v>50568</v>
      </c>
      <c r="I172" t="s">
        <v>75</v>
      </c>
      <c r="J172" t="s">
        <v>76</v>
      </c>
      <c r="K172">
        <v>30269</v>
      </c>
    </row>
    <row r="173" spans="1:11" x14ac:dyDescent="0.25">
      <c r="A173" t="s">
        <v>93</v>
      </c>
      <c r="B173">
        <v>2018</v>
      </c>
      <c r="C173">
        <v>11921</v>
      </c>
      <c r="D173" t="s">
        <v>48</v>
      </c>
      <c r="E173" t="s">
        <v>72</v>
      </c>
      <c r="F173">
        <v>84.287000000000006</v>
      </c>
      <c r="G173" t="e">
        <v>#N/A</v>
      </c>
      <c r="H173" s="13">
        <v>129</v>
      </c>
      <c r="I173" t="s">
        <v>72</v>
      </c>
      <c r="J173" t="s">
        <v>127</v>
      </c>
      <c r="K173">
        <v>129</v>
      </c>
    </row>
    <row r="174" spans="1:11" x14ac:dyDescent="0.25">
      <c r="A174" t="s">
        <v>93</v>
      </c>
      <c r="B174">
        <v>2018</v>
      </c>
      <c r="C174">
        <v>11921</v>
      </c>
      <c r="D174" t="s">
        <v>48</v>
      </c>
      <c r="E174" t="s">
        <v>72</v>
      </c>
      <c r="F174">
        <v>93.558000000000007</v>
      </c>
      <c r="G174" t="s">
        <v>82</v>
      </c>
      <c r="H174" s="13">
        <v>2638806</v>
      </c>
      <c r="I174" t="s">
        <v>75</v>
      </c>
      <c r="J174" t="s">
        <v>83</v>
      </c>
      <c r="K174">
        <v>2638806</v>
      </c>
    </row>
    <row r="175" spans="1:11" x14ac:dyDescent="0.25">
      <c r="A175" t="s">
        <v>93</v>
      </c>
      <c r="B175">
        <v>2018</v>
      </c>
      <c r="C175">
        <v>11921</v>
      </c>
      <c r="D175" t="s">
        <v>48</v>
      </c>
      <c r="E175" t="s">
        <v>72</v>
      </c>
      <c r="F175">
        <v>93.569000000000003</v>
      </c>
      <c r="G175" t="s">
        <v>90</v>
      </c>
      <c r="H175" s="13">
        <v>616452</v>
      </c>
      <c r="I175" t="s">
        <v>75</v>
      </c>
      <c r="J175" t="s">
        <v>91</v>
      </c>
      <c r="K175">
        <v>35533</v>
      </c>
    </row>
    <row r="176" spans="1:11" x14ac:dyDescent="0.25">
      <c r="A176" t="s">
        <v>89</v>
      </c>
      <c r="B176">
        <v>2018</v>
      </c>
      <c r="C176">
        <v>215892</v>
      </c>
      <c r="D176" t="s">
        <v>49</v>
      </c>
      <c r="E176" t="s">
        <v>72</v>
      </c>
      <c r="F176">
        <v>93.043999999999997</v>
      </c>
      <c r="G176" t="s">
        <v>109</v>
      </c>
      <c r="H176" s="13">
        <v>74509</v>
      </c>
      <c r="I176" t="s">
        <v>75</v>
      </c>
      <c r="J176" t="s">
        <v>167</v>
      </c>
      <c r="K176">
        <v>74509</v>
      </c>
    </row>
    <row r="177" spans="1:11" x14ac:dyDescent="0.25">
      <c r="A177" t="s">
        <v>89</v>
      </c>
      <c r="B177">
        <v>2018</v>
      </c>
      <c r="C177">
        <v>215892</v>
      </c>
      <c r="D177" t="s">
        <v>49</v>
      </c>
      <c r="E177" t="s">
        <v>72</v>
      </c>
      <c r="F177">
        <v>93.045000000000002</v>
      </c>
      <c r="G177" t="s">
        <v>111</v>
      </c>
      <c r="H177" s="13">
        <v>143313</v>
      </c>
      <c r="I177" t="s">
        <v>75</v>
      </c>
      <c r="J177" t="s">
        <v>149</v>
      </c>
      <c r="K177">
        <v>143313</v>
      </c>
    </row>
    <row r="178" spans="1:11" x14ac:dyDescent="0.25">
      <c r="A178" t="s">
        <v>89</v>
      </c>
      <c r="B178">
        <v>2018</v>
      </c>
      <c r="C178">
        <v>215892</v>
      </c>
      <c r="D178" t="s">
        <v>49</v>
      </c>
      <c r="E178" t="s">
        <v>72</v>
      </c>
      <c r="F178">
        <v>93.052000000000007</v>
      </c>
      <c r="G178" t="s">
        <v>153</v>
      </c>
      <c r="H178" s="13">
        <v>679589</v>
      </c>
      <c r="I178" t="s">
        <v>75</v>
      </c>
      <c r="J178" t="s">
        <v>154</v>
      </c>
      <c r="K178">
        <v>679589</v>
      </c>
    </row>
    <row r="179" spans="1:11" x14ac:dyDescent="0.25">
      <c r="A179" t="s">
        <v>89</v>
      </c>
      <c r="B179">
        <v>2018</v>
      </c>
      <c r="C179">
        <v>215892</v>
      </c>
      <c r="D179" t="s">
        <v>49</v>
      </c>
      <c r="E179" t="s">
        <v>72</v>
      </c>
      <c r="F179">
        <v>93.052999999999997</v>
      </c>
      <c r="G179" t="s">
        <v>113</v>
      </c>
      <c r="H179" s="13">
        <v>93810</v>
      </c>
      <c r="I179" t="s">
        <v>75</v>
      </c>
      <c r="J179" t="s">
        <v>114</v>
      </c>
      <c r="K179">
        <v>93810</v>
      </c>
    </row>
    <row r="180" spans="1:11" x14ac:dyDescent="0.25">
      <c r="A180" t="s">
        <v>89</v>
      </c>
      <c r="B180">
        <v>2018</v>
      </c>
      <c r="C180">
        <v>215892</v>
      </c>
      <c r="D180" t="s">
        <v>49</v>
      </c>
      <c r="E180" t="s">
        <v>72</v>
      </c>
      <c r="F180">
        <v>93.667000000000002</v>
      </c>
      <c r="G180" t="s">
        <v>101</v>
      </c>
      <c r="H180" s="13">
        <v>347153</v>
      </c>
      <c r="I180" t="s">
        <v>75</v>
      </c>
      <c r="J180" t="s">
        <v>102</v>
      </c>
      <c r="K180">
        <v>347153</v>
      </c>
    </row>
    <row r="181" spans="1:11" x14ac:dyDescent="0.25">
      <c r="A181" t="s">
        <v>97</v>
      </c>
      <c r="B181">
        <v>2018</v>
      </c>
      <c r="C181">
        <v>245981</v>
      </c>
      <c r="D181" t="s">
        <v>50</v>
      </c>
      <c r="E181" t="s">
        <v>72</v>
      </c>
      <c r="F181">
        <v>10.558</v>
      </c>
      <c r="G181" t="s">
        <v>74</v>
      </c>
      <c r="H181" s="13">
        <v>858794</v>
      </c>
      <c r="I181" t="s">
        <v>75</v>
      </c>
      <c r="J181" t="s">
        <v>76</v>
      </c>
      <c r="K181">
        <v>765756</v>
      </c>
    </row>
    <row r="182" spans="1:11" x14ac:dyDescent="0.25">
      <c r="A182" t="s">
        <v>97</v>
      </c>
      <c r="B182">
        <v>2018</v>
      </c>
      <c r="C182">
        <v>245981</v>
      </c>
      <c r="D182" t="s">
        <v>50</v>
      </c>
      <c r="E182" t="s">
        <v>72</v>
      </c>
      <c r="F182">
        <v>14.218</v>
      </c>
      <c r="G182" t="s">
        <v>122</v>
      </c>
      <c r="H182" s="13">
        <v>764838</v>
      </c>
      <c r="I182" t="s">
        <v>75</v>
      </c>
      <c r="J182" t="s">
        <v>123</v>
      </c>
      <c r="K182">
        <v>764838</v>
      </c>
    </row>
    <row r="183" spans="1:11" x14ac:dyDescent="0.25">
      <c r="A183" t="s">
        <v>97</v>
      </c>
      <c r="B183">
        <v>2018</v>
      </c>
      <c r="C183">
        <v>245981</v>
      </c>
      <c r="D183" t="s">
        <v>50</v>
      </c>
      <c r="E183" t="s">
        <v>72</v>
      </c>
      <c r="F183">
        <v>93.575000000000003</v>
      </c>
      <c r="G183" t="s">
        <v>77</v>
      </c>
      <c r="H183" s="13">
        <v>2329525</v>
      </c>
      <c r="I183" t="s">
        <v>75</v>
      </c>
      <c r="J183" t="s">
        <v>78</v>
      </c>
      <c r="K183">
        <v>2329525</v>
      </c>
    </row>
    <row r="184" spans="1:11" x14ac:dyDescent="0.25">
      <c r="A184" t="s">
        <v>147</v>
      </c>
      <c r="B184">
        <v>2018</v>
      </c>
      <c r="C184">
        <v>9652</v>
      </c>
      <c r="D184" t="s">
        <v>51</v>
      </c>
      <c r="E184" t="s">
        <v>72</v>
      </c>
      <c r="F184">
        <v>10.553000000000001</v>
      </c>
      <c r="G184" t="s">
        <v>134</v>
      </c>
      <c r="H184" s="13">
        <v>251958</v>
      </c>
      <c r="I184" t="s">
        <v>75</v>
      </c>
      <c r="J184" t="s">
        <v>135</v>
      </c>
      <c r="K184">
        <v>251958</v>
      </c>
    </row>
    <row r="185" spans="1:11" x14ac:dyDescent="0.25">
      <c r="A185" t="s">
        <v>147</v>
      </c>
      <c r="B185">
        <v>2018</v>
      </c>
      <c r="C185">
        <v>9652</v>
      </c>
      <c r="D185" t="s">
        <v>51</v>
      </c>
      <c r="E185" t="s">
        <v>72</v>
      </c>
      <c r="F185">
        <v>10.555</v>
      </c>
      <c r="G185" t="s">
        <v>136</v>
      </c>
      <c r="H185" s="13">
        <v>355056</v>
      </c>
      <c r="I185" t="s">
        <v>75</v>
      </c>
      <c r="J185" t="s">
        <v>137</v>
      </c>
      <c r="K185">
        <v>355056</v>
      </c>
    </row>
    <row r="186" spans="1:11" x14ac:dyDescent="0.25">
      <c r="A186" t="s">
        <v>147</v>
      </c>
      <c r="B186">
        <v>2018</v>
      </c>
      <c r="C186">
        <v>9652</v>
      </c>
      <c r="D186" t="s">
        <v>51</v>
      </c>
      <c r="E186" t="s">
        <v>72</v>
      </c>
      <c r="F186">
        <v>10.558</v>
      </c>
      <c r="G186" t="s">
        <v>74</v>
      </c>
      <c r="H186" s="13">
        <v>1412102</v>
      </c>
      <c r="I186" t="s">
        <v>75</v>
      </c>
      <c r="J186" t="s">
        <v>76</v>
      </c>
      <c r="K186">
        <v>1013207</v>
      </c>
    </row>
    <row r="187" spans="1:11" x14ac:dyDescent="0.25">
      <c r="A187" t="s">
        <v>147</v>
      </c>
      <c r="B187">
        <v>2018</v>
      </c>
      <c r="C187">
        <v>9652</v>
      </c>
      <c r="D187" t="s">
        <v>51</v>
      </c>
      <c r="E187" t="s">
        <v>72</v>
      </c>
      <c r="F187">
        <v>10.569000000000001</v>
      </c>
      <c r="G187" t="e">
        <v>#N/A</v>
      </c>
      <c r="H187" s="13">
        <v>13091</v>
      </c>
      <c r="I187" t="s">
        <v>72</v>
      </c>
      <c r="J187" t="s">
        <v>173</v>
      </c>
      <c r="K187">
        <v>10820</v>
      </c>
    </row>
    <row r="188" spans="1:11" x14ac:dyDescent="0.25">
      <c r="A188" t="s">
        <v>147</v>
      </c>
      <c r="B188">
        <v>2018</v>
      </c>
      <c r="C188">
        <v>9652</v>
      </c>
      <c r="D188" t="s">
        <v>51</v>
      </c>
      <c r="E188" t="s">
        <v>72</v>
      </c>
      <c r="F188">
        <v>14.231</v>
      </c>
      <c r="G188" t="s">
        <v>174</v>
      </c>
      <c r="H188" s="13">
        <v>81148</v>
      </c>
      <c r="I188" t="s">
        <v>75</v>
      </c>
      <c r="J188" t="s">
        <v>175</v>
      </c>
      <c r="K188">
        <v>81148</v>
      </c>
    </row>
    <row r="189" spans="1:11" x14ac:dyDescent="0.25">
      <c r="A189" t="s">
        <v>147</v>
      </c>
      <c r="B189">
        <v>2018</v>
      </c>
      <c r="C189">
        <v>9652</v>
      </c>
      <c r="D189" t="s">
        <v>51</v>
      </c>
      <c r="E189" t="s">
        <v>72</v>
      </c>
      <c r="F189">
        <v>17.259</v>
      </c>
      <c r="G189" t="s">
        <v>107</v>
      </c>
      <c r="H189" s="13">
        <v>223124</v>
      </c>
      <c r="I189" t="s">
        <v>75</v>
      </c>
      <c r="J189" t="s">
        <v>108</v>
      </c>
      <c r="K189">
        <v>215488</v>
      </c>
    </row>
    <row r="190" spans="1:11" x14ac:dyDescent="0.25">
      <c r="A190" t="s">
        <v>147</v>
      </c>
      <c r="B190">
        <v>2018</v>
      </c>
      <c r="C190">
        <v>9652</v>
      </c>
      <c r="D190" t="s">
        <v>51</v>
      </c>
      <c r="E190" t="s">
        <v>72</v>
      </c>
      <c r="F190">
        <v>84.027000000000001</v>
      </c>
      <c r="G190" t="e">
        <v>#N/A</v>
      </c>
      <c r="H190" s="13">
        <v>86399</v>
      </c>
      <c r="I190" t="s">
        <v>72</v>
      </c>
      <c r="J190" t="s">
        <v>176</v>
      </c>
      <c r="K190">
        <v>86399</v>
      </c>
    </row>
    <row r="191" spans="1:11" x14ac:dyDescent="0.25">
      <c r="A191" t="s">
        <v>147</v>
      </c>
      <c r="B191">
        <v>2018</v>
      </c>
      <c r="C191">
        <v>9652</v>
      </c>
      <c r="D191" t="s">
        <v>51</v>
      </c>
      <c r="E191" t="s">
        <v>72</v>
      </c>
      <c r="F191">
        <v>93.268000000000001</v>
      </c>
      <c r="G191" t="e">
        <v>#N/A</v>
      </c>
      <c r="H191" s="13">
        <v>46294</v>
      </c>
      <c r="I191" t="s">
        <v>72</v>
      </c>
      <c r="J191" t="s">
        <v>169</v>
      </c>
      <c r="K191">
        <v>46294</v>
      </c>
    </row>
    <row r="192" spans="1:11" x14ac:dyDescent="0.25">
      <c r="A192" t="s">
        <v>147</v>
      </c>
      <c r="B192">
        <v>2018</v>
      </c>
      <c r="C192">
        <v>9652</v>
      </c>
      <c r="D192" t="s">
        <v>51</v>
      </c>
      <c r="E192" t="s">
        <v>72</v>
      </c>
      <c r="F192">
        <v>93.504999999999995</v>
      </c>
      <c r="G192" t="e">
        <v>#N/A</v>
      </c>
      <c r="H192" s="13">
        <v>163154</v>
      </c>
      <c r="I192" t="s">
        <v>72</v>
      </c>
      <c r="J192" t="s">
        <v>177</v>
      </c>
      <c r="K192">
        <v>163154</v>
      </c>
    </row>
    <row r="193" spans="1:11" x14ac:dyDescent="0.25">
      <c r="A193" t="s">
        <v>147</v>
      </c>
      <c r="B193">
        <v>2018</v>
      </c>
      <c r="C193">
        <v>9652</v>
      </c>
      <c r="D193" t="s">
        <v>51</v>
      </c>
      <c r="E193" t="s">
        <v>72</v>
      </c>
      <c r="F193">
        <v>93.558000000000007</v>
      </c>
      <c r="G193" t="s">
        <v>82</v>
      </c>
      <c r="H193" s="13">
        <v>6927079</v>
      </c>
      <c r="I193" t="s">
        <v>75</v>
      </c>
      <c r="J193" t="s">
        <v>83</v>
      </c>
      <c r="K193">
        <v>3267813</v>
      </c>
    </row>
    <row r="194" spans="1:11" x14ac:dyDescent="0.25">
      <c r="A194" t="s">
        <v>147</v>
      </c>
      <c r="B194">
        <v>2018</v>
      </c>
      <c r="C194">
        <v>9652</v>
      </c>
      <c r="D194" t="s">
        <v>51</v>
      </c>
      <c r="E194" t="s">
        <v>72</v>
      </c>
      <c r="F194">
        <v>93.569000000000003</v>
      </c>
      <c r="G194" t="s">
        <v>90</v>
      </c>
      <c r="H194" s="13">
        <v>503228</v>
      </c>
      <c r="I194" t="s">
        <v>75</v>
      </c>
      <c r="J194" t="s">
        <v>91</v>
      </c>
      <c r="K194">
        <v>53922</v>
      </c>
    </row>
    <row r="195" spans="1:11" x14ac:dyDescent="0.25">
      <c r="A195" t="s">
        <v>147</v>
      </c>
      <c r="B195">
        <v>2018</v>
      </c>
      <c r="C195">
        <v>9652</v>
      </c>
      <c r="D195" t="s">
        <v>51</v>
      </c>
      <c r="E195" t="s">
        <v>72</v>
      </c>
      <c r="F195">
        <v>93.6</v>
      </c>
      <c r="G195" t="s">
        <v>98</v>
      </c>
      <c r="H195" s="13">
        <v>1899051</v>
      </c>
      <c r="I195" t="s">
        <v>75</v>
      </c>
      <c r="J195" t="s">
        <v>99</v>
      </c>
      <c r="K195">
        <v>1042586</v>
      </c>
    </row>
    <row r="196" spans="1:11" x14ac:dyDescent="0.25">
      <c r="A196" t="s">
        <v>147</v>
      </c>
      <c r="B196">
        <v>2018</v>
      </c>
      <c r="C196">
        <v>9652</v>
      </c>
      <c r="D196" t="s">
        <v>51</v>
      </c>
      <c r="E196" t="s">
        <v>72</v>
      </c>
      <c r="F196">
        <v>93.667000000000002</v>
      </c>
      <c r="G196" t="s">
        <v>101</v>
      </c>
      <c r="H196" s="13">
        <v>187269</v>
      </c>
      <c r="I196" t="s">
        <v>75</v>
      </c>
      <c r="J196" t="s">
        <v>102</v>
      </c>
      <c r="K196">
        <v>187269</v>
      </c>
    </row>
    <row r="197" spans="1:11" x14ac:dyDescent="0.25">
      <c r="A197" t="s">
        <v>147</v>
      </c>
      <c r="B197">
        <v>2018</v>
      </c>
      <c r="C197">
        <v>9652</v>
      </c>
      <c r="D197" t="s">
        <v>51</v>
      </c>
      <c r="E197" t="s">
        <v>72</v>
      </c>
      <c r="F197">
        <v>93.87</v>
      </c>
      <c r="G197" t="e">
        <v>#N/A</v>
      </c>
      <c r="H197" s="13">
        <v>67557</v>
      </c>
      <c r="I197" t="s">
        <v>72</v>
      </c>
      <c r="J197" t="s">
        <v>178</v>
      </c>
      <c r="K197">
        <v>67557</v>
      </c>
    </row>
    <row r="198" spans="1:11" x14ac:dyDescent="0.25">
      <c r="A198" t="s">
        <v>147</v>
      </c>
      <c r="B198">
        <v>2018</v>
      </c>
      <c r="C198">
        <v>9652</v>
      </c>
      <c r="D198" t="s">
        <v>51</v>
      </c>
      <c r="E198" t="s">
        <v>72</v>
      </c>
      <c r="F198">
        <v>93.926000000000002</v>
      </c>
      <c r="G198" t="e">
        <v>#N/A</v>
      </c>
      <c r="H198" s="13">
        <v>381189</v>
      </c>
      <c r="I198" t="s">
        <v>72</v>
      </c>
      <c r="J198" t="s">
        <v>145</v>
      </c>
      <c r="K198">
        <v>282138</v>
      </c>
    </row>
    <row r="199" spans="1:11" x14ac:dyDescent="0.25">
      <c r="A199" t="s">
        <v>147</v>
      </c>
      <c r="B199">
        <v>2018</v>
      </c>
      <c r="C199">
        <v>9652</v>
      </c>
      <c r="D199" t="s">
        <v>51</v>
      </c>
      <c r="E199" t="s">
        <v>72</v>
      </c>
      <c r="F199">
        <v>93.959000000000003</v>
      </c>
      <c r="G199" t="e">
        <v>#N/A</v>
      </c>
      <c r="H199" s="13">
        <v>539542</v>
      </c>
      <c r="I199" t="s">
        <v>72</v>
      </c>
      <c r="J199" t="s">
        <v>92</v>
      </c>
      <c r="K199">
        <v>539542</v>
      </c>
    </row>
    <row r="200" spans="1:11" x14ac:dyDescent="0.25">
      <c r="A200" t="s">
        <v>147</v>
      </c>
      <c r="B200">
        <v>2018</v>
      </c>
      <c r="C200">
        <v>9652</v>
      </c>
      <c r="D200" t="s">
        <v>51</v>
      </c>
      <c r="E200" t="s">
        <v>72</v>
      </c>
      <c r="F200">
        <v>94.006</v>
      </c>
      <c r="G200" t="e">
        <v>#N/A</v>
      </c>
      <c r="H200" s="13">
        <v>236477</v>
      </c>
      <c r="I200" t="s">
        <v>72</v>
      </c>
      <c r="J200" t="s">
        <v>128</v>
      </c>
      <c r="K200">
        <v>214120</v>
      </c>
    </row>
    <row r="201" spans="1:11" x14ac:dyDescent="0.25">
      <c r="A201" t="s">
        <v>147</v>
      </c>
      <c r="B201">
        <v>2018</v>
      </c>
      <c r="C201">
        <v>11847</v>
      </c>
      <c r="D201" t="s">
        <v>52</v>
      </c>
      <c r="E201" t="s">
        <v>72</v>
      </c>
      <c r="F201">
        <v>10.558</v>
      </c>
      <c r="G201" t="s">
        <v>74</v>
      </c>
      <c r="H201" s="13">
        <v>2052963</v>
      </c>
      <c r="I201" t="s">
        <v>75</v>
      </c>
      <c r="J201" t="s">
        <v>76</v>
      </c>
      <c r="K201">
        <v>1750401</v>
      </c>
    </row>
    <row r="202" spans="1:11" x14ac:dyDescent="0.25">
      <c r="A202" t="s">
        <v>147</v>
      </c>
      <c r="B202">
        <v>2018</v>
      </c>
      <c r="C202">
        <v>11847</v>
      </c>
      <c r="D202" t="s">
        <v>52</v>
      </c>
      <c r="E202" t="s">
        <v>72</v>
      </c>
      <c r="F202">
        <v>17.259</v>
      </c>
      <c r="G202" t="s">
        <v>107</v>
      </c>
      <c r="H202" s="13">
        <v>1120</v>
      </c>
      <c r="I202" t="s">
        <v>75</v>
      </c>
      <c r="J202" t="s">
        <v>108</v>
      </c>
      <c r="K202">
        <v>1120</v>
      </c>
    </row>
    <row r="203" spans="1:11" x14ac:dyDescent="0.25">
      <c r="A203" t="s">
        <v>147</v>
      </c>
      <c r="B203">
        <v>2018</v>
      </c>
      <c r="C203">
        <v>11847</v>
      </c>
      <c r="D203" t="s">
        <v>52</v>
      </c>
      <c r="E203" t="s">
        <v>72</v>
      </c>
      <c r="F203">
        <v>93.558000000000007</v>
      </c>
      <c r="G203" t="s">
        <v>82</v>
      </c>
      <c r="H203" s="13">
        <v>43796</v>
      </c>
      <c r="I203" t="s">
        <v>75</v>
      </c>
      <c r="J203" t="s">
        <v>83</v>
      </c>
      <c r="K203">
        <v>43796</v>
      </c>
    </row>
    <row r="204" spans="1:11" x14ac:dyDescent="0.25">
      <c r="A204" t="s">
        <v>147</v>
      </c>
      <c r="B204">
        <v>2018</v>
      </c>
      <c r="C204">
        <v>11847</v>
      </c>
      <c r="D204" t="s">
        <v>52</v>
      </c>
      <c r="E204" t="s">
        <v>72</v>
      </c>
      <c r="F204">
        <v>93.569000000000003</v>
      </c>
      <c r="G204" t="s">
        <v>90</v>
      </c>
      <c r="H204" s="13">
        <v>105422</v>
      </c>
      <c r="I204" t="s">
        <v>75</v>
      </c>
      <c r="J204" t="s">
        <v>91</v>
      </c>
      <c r="K204">
        <v>33459</v>
      </c>
    </row>
    <row r="205" spans="1:11" x14ac:dyDescent="0.25">
      <c r="A205" t="s">
        <v>147</v>
      </c>
      <c r="B205">
        <v>2018</v>
      </c>
      <c r="C205">
        <v>11847</v>
      </c>
      <c r="D205" t="s">
        <v>52</v>
      </c>
      <c r="E205" t="s">
        <v>72</v>
      </c>
      <c r="F205">
        <v>93.6</v>
      </c>
      <c r="G205" t="s">
        <v>98</v>
      </c>
      <c r="H205" s="13">
        <v>1839219</v>
      </c>
      <c r="I205" t="s">
        <v>75</v>
      </c>
      <c r="J205" t="s">
        <v>99</v>
      </c>
      <c r="K205">
        <v>1329083</v>
      </c>
    </row>
    <row r="206" spans="1:11" x14ac:dyDescent="0.25">
      <c r="A206" t="s">
        <v>89</v>
      </c>
      <c r="B206">
        <v>2018</v>
      </c>
      <c r="C206">
        <v>11595</v>
      </c>
      <c r="D206" t="s">
        <v>53</v>
      </c>
      <c r="E206" t="s">
        <v>72</v>
      </c>
      <c r="F206">
        <v>10.558</v>
      </c>
      <c r="G206" t="s">
        <v>74</v>
      </c>
      <c r="H206" s="13">
        <v>5577</v>
      </c>
      <c r="I206" t="s">
        <v>75</v>
      </c>
      <c r="J206" t="s">
        <v>76</v>
      </c>
      <c r="K206">
        <v>5577</v>
      </c>
    </row>
    <row r="207" spans="1:11" x14ac:dyDescent="0.25">
      <c r="A207" t="s">
        <v>89</v>
      </c>
      <c r="B207">
        <v>2018</v>
      </c>
      <c r="C207">
        <v>11595</v>
      </c>
      <c r="D207" t="s">
        <v>53</v>
      </c>
      <c r="E207" t="s">
        <v>72</v>
      </c>
      <c r="F207">
        <v>93.043999999999997</v>
      </c>
      <c r="G207" t="s">
        <v>109</v>
      </c>
      <c r="H207" s="13">
        <v>8765</v>
      </c>
      <c r="I207" t="s">
        <v>75</v>
      </c>
      <c r="J207" t="s">
        <v>167</v>
      </c>
      <c r="K207">
        <v>8765</v>
      </c>
    </row>
    <row r="208" spans="1:11" x14ac:dyDescent="0.25">
      <c r="A208" t="s">
        <v>89</v>
      </c>
      <c r="B208">
        <v>2018</v>
      </c>
      <c r="C208">
        <v>11595</v>
      </c>
      <c r="D208" t="s">
        <v>53</v>
      </c>
      <c r="E208" t="s">
        <v>72</v>
      </c>
      <c r="F208">
        <v>93.045000000000002</v>
      </c>
      <c r="G208" t="s">
        <v>111</v>
      </c>
      <c r="H208" s="13">
        <v>194132</v>
      </c>
      <c r="I208" t="s">
        <v>75</v>
      </c>
      <c r="J208" t="s">
        <v>149</v>
      </c>
      <c r="K208">
        <v>167889</v>
      </c>
    </row>
    <row r="209" spans="1:11" x14ac:dyDescent="0.25">
      <c r="A209" t="s">
        <v>89</v>
      </c>
      <c r="B209">
        <v>2018</v>
      </c>
      <c r="C209">
        <v>11595</v>
      </c>
      <c r="D209" t="s">
        <v>53</v>
      </c>
      <c r="E209" t="s">
        <v>72</v>
      </c>
      <c r="F209">
        <v>93.052999999999997</v>
      </c>
      <c r="G209" t="s">
        <v>113</v>
      </c>
      <c r="H209" s="13">
        <v>211219</v>
      </c>
      <c r="I209" t="s">
        <v>75</v>
      </c>
      <c r="J209" t="s">
        <v>114</v>
      </c>
      <c r="K209">
        <v>191608</v>
      </c>
    </row>
    <row r="210" spans="1:11" x14ac:dyDescent="0.25">
      <c r="A210" t="s">
        <v>89</v>
      </c>
      <c r="B210">
        <v>2018</v>
      </c>
      <c r="C210">
        <v>11595</v>
      </c>
      <c r="D210" t="s">
        <v>53</v>
      </c>
      <c r="E210" t="s">
        <v>72</v>
      </c>
      <c r="F210">
        <v>93.558000000000007</v>
      </c>
      <c r="G210" t="s">
        <v>82</v>
      </c>
      <c r="H210" s="13">
        <v>111500</v>
      </c>
      <c r="I210" t="s">
        <v>75</v>
      </c>
      <c r="J210" t="s">
        <v>83</v>
      </c>
      <c r="K210">
        <v>111500</v>
      </c>
    </row>
    <row r="211" spans="1:11" x14ac:dyDescent="0.25">
      <c r="A211" t="s">
        <v>89</v>
      </c>
      <c r="B211">
        <v>2018</v>
      </c>
      <c r="C211">
        <v>11595</v>
      </c>
      <c r="D211" t="s">
        <v>53</v>
      </c>
      <c r="E211" t="s">
        <v>72</v>
      </c>
      <c r="F211">
        <v>93.667000000000002</v>
      </c>
      <c r="G211" t="s">
        <v>101</v>
      </c>
      <c r="H211" s="13">
        <v>356748</v>
      </c>
      <c r="I211" t="s">
        <v>75</v>
      </c>
      <c r="J211" t="s">
        <v>102</v>
      </c>
      <c r="K211">
        <v>293680</v>
      </c>
    </row>
    <row r="212" spans="1:11" x14ac:dyDescent="0.25">
      <c r="A212" t="s">
        <v>93</v>
      </c>
      <c r="B212">
        <v>2018</v>
      </c>
      <c r="C212">
        <v>244359</v>
      </c>
      <c r="D212" t="s">
        <v>54</v>
      </c>
      <c r="E212" t="s">
        <v>75</v>
      </c>
      <c r="F212">
        <v>93.043000000000006</v>
      </c>
      <c r="G212" t="s">
        <v>165</v>
      </c>
      <c r="H212" s="13">
        <v>6122</v>
      </c>
      <c r="I212" t="s">
        <v>75</v>
      </c>
      <c r="J212" t="s">
        <v>166</v>
      </c>
      <c r="K212">
        <v>6122</v>
      </c>
    </row>
    <row r="213" spans="1:11" x14ac:dyDescent="0.25">
      <c r="A213" t="s">
        <v>93</v>
      </c>
      <c r="B213">
        <v>2018</v>
      </c>
      <c r="C213">
        <v>244359</v>
      </c>
      <c r="D213" t="s">
        <v>54</v>
      </c>
      <c r="E213" t="s">
        <v>75</v>
      </c>
      <c r="F213">
        <v>93.043999999999997</v>
      </c>
      <c r="G213" t="s">
        <v>109</v>
      </c>
      <c r="H213" s="13">
        <v>181409</v>
      </c>
      <c r="I213" t="s">
        <v>75</v>
      </c>
      <c r="J213" t="s">
        <v>132</v>
      </c>
      <c r="K213">
        <v>181409</v>
      </c>
    </row>
    <row r="214" spans="1:11" x14ac:dyDescent="0.25">
      <c r="A214" t="s">
        <v>93</v>
      </c>
      <c r="B214">
        <v>2018</v>
      </c>
      <c r="C214">
        <v>244359</v>
      </c>
      <c r="D214" t="s">
        <v>54</v>
      </c>
      <c r="E214" t="s">
        <v>75</v>
      </c>
      <c r="F214">
        <v>93.045000000000002</v>
      </c>
      <c r="G214" t="s">
        <v>111</v>
      </c>
      <c r="H214" s="13">
        <v>218674</v>
      </c>
      <c r="I214" t="s">
        <v>75</v>
      </c>
      <c r="J214" t="s">
        <v>149</v>
      </c>
      <c r="K214">
        <v>218674</v>
      </c>
    </row>
    <row r="215" spans="1:11" x14ac:dyDescent="0.25">
      <c r="A215" t="s">
        <v>93</v>
      </c>
      <c r="B215">
        <v>2018</v>
      </c>
      <c r="C215">
        <v>244359</v>
      </c>
      <c r="D215" t="s">
        <v>54</v>
      </c>
      <c r="E215" t="s">
        <v>75</v>
      </c>
      <c r="F215">
        <v>93.052999999999997</v>
      </c>
      <c r="G215" t="s">
        <v>113</v>
      </c>
      <c r="H215" s="13">
        <v>80416</v>
      </c>
      <c r="I215" t="s">
        <v>75</v>
      </c>
      <c r="J215" t="s">
        <v>114</v>
      </c>
      <c r="K215">
        <v>80416</v>
      </c>
    </row>
    <row r="216" spans="1:11" x14ac:dyDescent="0.25">
      <c r="A216" t="s">
        <v>93</v>
      </c>
      <c r="B216">
        <v>2018</v>
      </c>
      <c r="C216">
        <v>244359</v>
      </c>
      <c r="D216" t="s">
        <v>54</v>
      </c>
      <c r="E216" t="s">
        <v>75</v>
      </c>
      <c r="F216">
        <v>93.667000000000002</v>
      </c>
      <c r="G216" t="s">
        <v>101</v>
      </c>
      <c r="H216" s="13">
        <v>445951</v>
      </c>
      <c r="I216" t="s">
        <v>75</v>
      </c>
      <c r="J216" t="s">
        <v>102</v>
      </c>
      <c r="K216">
        <v>445951</v>
      </c>
    </row>
    <row r="217" spans="1:11" x14ac:dyDescent="0.25">
      <c r="A217" t="s">
        <v>89</v>
      </c>
      <c r="B217">
        <v>2018</v>
      </c>
      <c r="C217">
        <v>10976</v>
      </c>
      <c r="D217" t="s">
        <v>55</v>
      </c>
      <c r="E217" t="s">
        <v>72</v>
      </c>
      <c r="F217">
        <v>10.553000000000001</v>
      </c>
      <c r="G217" t="s">
        <v>134</v>
      </c>
      <c r="H217" s="13">
        <v>97121</v>
      </c>
      <c r="I217" t="s">
        <v>75</v>
      </c>
      <c r="J217" t="s">
        <v>135</v>
      </c>
      <c r="K217">
        <v>97121</v>
      </c>
    </row>
    <row r="218" spans="1:11" x14ac:dyDescent="0.25">
      <c r="A218" t="s">
        <v>89</v>
      </c>
      <c r="B218">
        <v>2018</v>
      </c>
      <c r="C218">
        <v>10976</v>
      </c>
      <c r="D218" t="s">
        <v>55</v>
      </c>
      <c r="E218" t="s">
        <v>72</v>
      </c>
      <c r="F218">
        <v>10.555</v>
      </c>
      <c r="G218" t="s">
        <v>136</v>
      </c>
      <c r="H218" s="13">
        <v>154166</v>
      </c>
      <c r="I218" t="s">
        <v>75</v>
      </c>
      <c r="J218" t="s">
        <v>137</v>
      </c>
      <c r="K218">
        <v>154166</v>
      </c>
    </row>
    <row r="219" spans="1:11" x14ac:dyDescent="0.25">
      <c r="A219" t="s">
        <v>89</v>
      </c>
      <c r="B219">
        <v>2018</v>
      </c>
      <c r="C219">
        <v>10976</v>
      </c>
      <c r="D219" t="s">
        <v>55</v>
      </c>
      <c r="E219" t="s">
        <v>72</v>
      </c>
      <c r="F219">
        <v>14.234999999999999</v>
      </c>
      <c r="G219" t="e">
        <v>#N/A</v>
      </c>
      <c r="H219" s="13">
        <v>391156</v>
      </c>
      <c r="I219" t="s">
        <v>72</v>
      </c>
      <c r="J219" t="s">
        <v>139</v>
      </c>
      <c r="K219">
        <v>340974</v>
      </c>
    </row>
    <row r="220" spans="1:11" x14ac:dyDescent="0.25">
      <c r="A220" t="s">
        <v>89</v>
      </c>
      <c r="B220">
        <v>2018</v>
      </c>
      <c r="C220">
        <v>10976</v>
      </c>
      <c r="D220" t="s">
        <v>55</v>
      </c>
      <c r="E220" t="s">
        <v>72</v>
      </c>
      <c r="F220">
        <v>17.259</v>
      </c>
      <c r="G220" t="s">
        <v>107</v>
      </c>
      <c r="H220" s="13">
        <v>179548</v>
      </c>
      <c r="I220" t="s">
        <v>75</v>
      </c>
      <c r="J220" t="s">
        <v>108</v>
      </c>
      <c r="K220">
        <v>42125</v>
      </c>
    </row>
    <row r="221" spans="1:11" x14ac:dyDescent="0.25">
      <c r="A221" t="s">
        <v>89</v>
      </c>
      <c r="B221">
        <v>2018</v>
      </c>
      <c r="C221">
        <v>10976</v>
      </c>
      <c r="D221" t="s">
        <v>55</v>
      </c>
      <c r="E221" t="s">
        <v>72</v>
      </c>
      <c r="F221">
        <v>93.296999999999997</v>
      </c>
      <c r="G221" t="e">
        <v>#N/A</v>
      </c>
      <c r="H221" s="13">
        <v>20000</v>
      </c>
      <c r="I221" t="s">
        <v>72</v>
      </c>
      <c r="J221" t="s">
        <v>133</v>
      </c>
      <c r="K221">
        <v>20000</v>
      </c>
    </row>
    <row r="222" spans="1:11" x14ac:dyDescent="0.25">
      <c r="A222" t="s">
        <v>89</v>
      </c>
      <c r="B222">
        <v>2018</v>
      </c>
      <c r="C222">
        <v>10976</v>
      </c>
      <c r="D222" t="s">
        <v>55</v>
      </c>
      <c r="E222" t="s">
        <v>72</v>
      </c>
      <c r="F222">
        <v>93.623000000000005</v>
      </c>
      <c r="G222" t="e">
        <v>#N/A</v>
      </c>
      <c r="H222" s="13">
        <v>93353</v>
      </c>
      <c r="I222" t="s">
        <v>72</v>
      </c>
      <c r="J222" t="s">
        <v>179</v>
      </c>
      <c r="K222">
        <v>93353</v>
      </c>
    </row>
    <row r="223" spans="1:11" x14ac:dyDescent="0.25">
      <c r="A223" t="s">
        <v>89</v>
      </c>
      <c r="B223">
        <v>2018</v>
      </c>
      <c r="C223">
        <v>10976</v>
      </c>
      <c r="D223" t="s">
        <v>55</v>
      </c>
      <c r="E223" t="s">
        <v>72</v>
      </c>
      <c r="F223">
        <v>93.667000000000002</v>
      </c>
      <c r="G223" t="s">
        <v>101</v>
      </c>
      <c r="H223" s="13">
        <v>39280</v>
      </c>
      <c r="I223" t="s">
        <v>75</v>
      </c>
      <c r="J223" t="s">
        <v>102</v>
      </c>
      <c r="K223">
        <v>39280</v>
      </c>
    </row>
    <row r="224" spans="1:11" x14ac:dyDescent="0.25">
      <c r="A224" t="s">
        <v>89</v>
      </c>
      <c r="B224">
        <v>2018</v>
      </c>
      <c r="C224">
        <v>10976</v>
      </c>
      <c r="D224" t="s">
        <v>55</v>
      </c>
      <c r="E224" t="s">
        <v>72</v>
      </c>
      <c r="F224">
        <v>93.676000000000002</v>
      </c>
      <c r="G224" t="e">
        <v>#N/A</v>
      </c>
      <c r="H224" s="13">
        <v>17762029</v>
      </c>
      <c r="I224" t="s">
        <v>72</v>
      </c>
      <c r="J224" t="s">
        <v>73</v>
      </c>
      <c r="K224">
        <v>17762029</v>
      </c>
    </row>
    <row r="225" spans="1:11" x14ac:dyDescent="0.25">
      <c r="A225" t="s">
        <v>89</v>
      </c>
      <c r="B225">
        <v>2018</v>
      </c>
      <c r="C225">
        <v>10976</v>
      </c>
      <c r="D225" t="s">
        <v>55</v>
      </c>
      <c r="E225" t="s">
        <v>72</v>
      </c>
      <c r="F225">
        <v>93.778000000000006</v>
      </c>
      <c r="G225" t="s">
        <v>143</v>
      </c>
      <c r="H225" s="13">
        <v>205274</v>
      </c>
      <c r="I225" t="s">
        <v>75</v>
      </c>
      <c r="J225" t="s">
        <v>144</v>
      </c>
      <c r="K225">
        <v>205274</v>
      </c>
    </row>
    <row r="226" spans="1:11" x14ac:dyDescent="0.25">
      <c r="A226" t="s">
        <v>89</v>
      </c>
      <c r="B226">
        <v>2018</v>
      </c>
      <c r="C226">
        <v>10976</v>
      </c>
      <c r="D226" t="s">
        <v>55</v>
      </c>
      <c r="E226" t="s">
        <v>72</v>
      </c>
      <c r="F226">
        <v>93.994</v>
      </c>
      <c r="G226" t="e">
        <v>#N/A</v>
      </c>
      <c r="H226" s="13">
        <v>24687</v>
      </c>
      <c r="I226" t="s">
        <v>72</v>
      </c>
      <c r="J226" t="s">
        <v>180</v>
      </c>
      <c r="K226">
        <v>24687</v>
      </c>
    </row>
    <row r="227" spans="1:11" x14ac:dyDescent="0.25">
      <c r="A227" t="s">
        <v>152</v>
      </c>
      <c r="B227">
        <v>2018</v>
      </c>
      <c r="C227">
        <v>201953</v>
      </c>
      <c r="D227" t="s">
        <v>56</v>
      </c>
      <c r="E227" t="s">
        <v>72</v>
      </c>
      <c r="F227">
        <v>93.242999999999995</v>
      </c>
      <c r="G227" t="e">
        <v>#N/A</v>
      </c>
      <c r="H227" s="13">
        <v>988074</v>
      </c>
      <c r="I227" t="s">
        <v>72</v>
      </c>
      <c r="J227" t="s">
        <v>81</v>
      </c>
      <c r="K227">
        <v>988074</v>
      </c>
    </row>
    <row r="228" spans="1:11" x14ac:dyDescent="0.25">
      <c r="A228" t="s">
        <v>152</v>
      </c>
      <c r="B228">
        <v>2018</v>
      </c>
      <c r="C228">
        <v>201953</v>
      </c>
      <c r="D228" t="s">
        <v>56</v>
      </c>
      <c r="E228" t="s">
        <v>72</v>
      </c>
      <c r="F228">
        <v>93.558000000000007</v>
      </c>
      <c r="G228" t="s">
        <v>82</v>
      </c>
      <c r="H228" s="13">
        <v>103334</v>
      </c>
      <c r="I228" t="s">
        <v>75</v>
      </c>
      <c r="J228" t="s">
        <v>83</v>
      </c>
      <c r="K228">
        <v>103334</v>
      </c>
    </row>
    <row r="229" spans="1:11" x14ac:dyDescent="0.25">
      <c r="A229" t="s">
        <v>152</v>
      </c>
      <c r="B229">
        <v>2018</v>
      </c>
      <c r="C229">
        <v>201953</v>
      </c>
      <c r="D229" t="s">
        <v>56</v>
      </c>
      <c r="E229" t="s">
        <v>72</v>
      </c>
      <c r="F229">
        <v>93.59</v>
      </c>
      <c r="G229" t="e">
        <v>#N/A</v>
      </c>
      <c r="H229" s="13">
        <v>32452</v>
      </c>
      <c r="I229" t="s">
        <v>72</v>
      </c>
      <c r="J229" t="s">
        <v>181</v>
      </c>
      <c r="K229">
        <v>32452</v>
      </c>
    </row>
    <row r="230" spans="1:11" x14ac:dyDescent="0.25">
      <c r="A230" t="s">
        <v>152</v>
      </c>
      <c r="B230">
        <v>2018</v>
      </c>
      <c r="C230">
        <v>201953</v>
      </c>
      <c r="D230" t="s">
        <v>56</v>
      </c>
      <c r="E230" t="s">
        <v>72</v>
      </c>
      <c r="F230">
        <v>93.914000000000001</v>
      </c>
      <c r="G230" t="e">
        <v>#N/A</v>
      </c>
      <c r="H230" s="13">
        <v>779342</v>
      </c>
      <c r="I230" t="s">
        <v>72</v>
      </c>
      <c r="J230" t="s">
        <v>84</v>
      </c>
      <c r="K230">
        <v>291923</v>
      </c>
    </row>
    <row r="231" spans="1:11" x14ac:dyDescent="0.25">
      <c r="A231" t="s">
        <v>93</v>
      </c>
      <c r="B231">
        <v>2018</v>
      </c>
      <c r="C231">
        <v>211372</v>
      </c>
      <c r="D231" t="s">
        <v>57</v>
      </c>
      <c r="E231" t="s">
        <v>72</v>
      </c>
      <c r="F231">
        <v>10.558</v>
      </c>
      <c r="G231" t="s">
        <v>74</v>
      </c>
      <c r="H231" s="13">
        <v>12522691</v>
      </c>
      <c r="I231" t="s">
        <v>75</v>
      </c>
      <c r="J231" t="s">
        <v>76</v>
      </c>
      <c r="K231">
        <v>12522691</v>
      </c>
    </row>
    <row r="232" spans="1:11" x14ac:dyDescent="0.25">
      <c r="A232" t="s">
        <v>93</v>
      </c>
      <c r="B232">
        <v>2018</v>
      </c>
      <c r="C232">
        <v>211372</v>
      </c>
      <c r="D232" t="s">
        <v>57</v>
      </c>
      <c r="E232" t="s">
        <v>72</v>
      </c>
      <c r="F232">
        <v>93.575000000000003</v>
      </c>
      <c r="G232" t="s">
        <v>77</v>
      </c>
      <c r="H232" s="13">
        <v>271962</v>
      </c>
      <c r="I232" t="s">
        <v>75</v>
      </c>
      <c r="J232" t="s">
        <v>78</v>
      </c>
      <c r="K232">
        <v>271962</v>
      </c>
    </row>
    <row r="233" spans="1:11" x14ac:dyDescent="0.25">
      <c r="A233" t="s">
        <v>147</v>
      </c>
      <c r="B233">
        <v>2018</v>
      </c>
      <c r="C233">
        <v>248138</v>
      </c>
      <c r="D233" t="s">
        <v>58</v>
      </c>
      <c r="E233" t="s">
        <v>72</v>
      </c>
      <c r="F233">
        <v>10.558</v>
      </c>
      <c r="G233" t="s">
        <v>74</v>
      </c>
      <c r="H233" s="13">
        <v>715607</v>
      </c>
      <c r="I233" t="s">
        <v>75</v>
      </c>
      <c r="J233" t="s">
        <v>76</v>
      </c>
      <c r="K233">
        <v>715607</v>
      </c>
    </row>
    <row r="234" spans="1:11" x14ac:dyDescent="0.25">
      <c r="A234" t="s">
        <v>147</v>
      </c>
      <c r="B234">
        <v>2018</v>
      </c>
      <c r="C234">
        <v>248138</v>
      </c>
      <c r="D234" t="s">
        <v>58</v>
      </c>
      <c r="E234" t="s">
        <v>72</v>
      </c>
      <c r="F234">
        <v>84.001999999999995</v>
      </c>
      <c r="G234" t="e">
        <v>#N/A</v>
      </c>
      <c r="H234" s="13">
        <v>279959</v>
      </c>
      <c r="I234" t="s">
        <v>72</v>
      </c>
      <c r="J234" t="s">
        <v>125</v>
      </c>
      <c r="K234">
        <v>279959</v>
      </c>
    </row>
    <row r="235" spans="1:11" x14ac:dyDescent="0.25">
      <c r="A235" t="s">
        <v>147</v>
      </c>
      <c r="B235">
        <v>2018</v>
      </c>
      <c r="C235">
        <v>248138</v>
      </c>
      <c r="D235" t="s">
        <v>58</v>
      </c>
      <c r="E235" t="s">
        <v>72</v>
      </c>
      <c r="F235">
        <v>93.043000000000006</v>
      </c>
      <c r="G235" t="s">
        <v>165</v>
      </c>
      <c r="H235" s="13">
        <v>6562</v>
      </c>
      <c r="I235" t="s">
        <v>75</v>
      </c>
      <c r="J235" t="s">
        <v>166</v>
      </c>
      <c r="K235">
        <v>6562</v>
      </c>
    </row>
    <row r="236" spans="1:11" x14ac:dyDescent="0.25">
      <c r="A236" t="s">
        <v>147</v>
      </c>
      <c r="B236">
        <v>2018</v>
      </c>
      <c r="C236">
        <v>248138</v>
      </c>
      <c r="D236" t="s">
        <v>58</v>
      </c>
      <c r="E236" t="s">
        <v>72</v>
      </c>
      <c r="F236">
        <v>93.043999999999997</v>
      </c>
      <c r="G236" t="s">
        <v>109</v>
      </c>
      <c r="H236" s="13">
        <v>33140</v>
      </c>
      <c r="I236" t="s">
        <v>75</v>
      </c>
      <c r="J236" t="s">
        <v>167</v>
      </c>
      <c r="K236">
        <v>33140</v>
      </c>
    </row>
    <row r="237" spans="1:11" x14ac:dyDescent="0.25">
      <c r="A237" t="s">
        <v>147</v>
      </c>
      <c r="B237">
        <v>2018</v>
      </c>
      <c r="C237">
        <v>248138</v>
      </c>
      <c r="D237" t="s">
        <v>58</v>
      </c>
      <c r="E237" t="s">
        <v>72</v>
      </c>
      <c r="F237">
        <v>93.045000000000002</v>
      </c>
      <c r="G237" t="s">
        <v>111</v>
      </c>
      <c r="H237" s="13">
        <v>111187</v>
      </c>
      <c r="I237" t="s">
        <v>75</v>
      </c>
      <c r="J237" t="s">
        <v>149</v>
      </c>
      <c r="K237">
        <v>111187</v>
      </c>
    </row>
    <row r="238" spans="1:11" x14ac:dyDescent="0.25">
      <c r="A238" t="s">
        <v>147</v>
      </c>
      <c r="B238">
        <v>2018</v>
      </c>
      <c r="C238">
        <v>248138</v>
      </c>
      <c r="D238" t="s">
        <v>58</v>
      </c>
      <c r="E238" t="s">
        <v>72</v>
      </c>
      <c r="F238">
        <v>93.052999999999997</v>
      </c>
      <c r="G238" t="s">
        <v>113</v>
      </c>
      <c r="H238" s="13">
        <v>160655</v>
      </c>
      <c r="I238" t="s">
        <v>75</v>
      </c>
      <c r="J238" t="s">
        <v>114</v>
      </c>
      <c r="K238">
        <v>160655</v>
      </c>
    </row>
    <row r="239" spans="1:11" x14ac:dyDescent="0.25">
      <c r="A239" t="s">
        <v>147</v>
      </c>
      <c r="B239">
        <v>2018</v>
      </c>
      <c r="C239">
        <v>248138</v>
      </c>
      <c r="D239" t="s">
        <v>58</v>
      </c>
      <c r="E239" t="s">
        <v>72</v>
      </c>
      <c r="F239">
        <v>93.569000000000003</v>
      </c>
      <c r="G239" t="s">
        <v>90</v>
      </c>
      <c r="H239" s="13">
        <v>63632</v>
      </c>
      <c r="I239" t="s">
        <v>75</v>
      </c>
      <c r="J239" t="s">
        <v>91</v>
      </c>
      <c r="K239">
        <v>63632</v>
      </c>
    </row>
    <row r="240" spans="1:11" x14ac:dyDescent="0.25">
      <c r="A240" t="s">
        <v>147</v>
      </c>
      <c r="B240">
        <v>2018</v>
      </c>
      <c r="C240">
        <v>248138</v>
      </c>
      <c r="D240" t="s">
        <v>58</v>
      </c>
      <c r="E240" t="s">
        <v>72</v>
      </c>
      <c r="F240">
        <v>93.6</v>
      </c>
      <c r="G240" t="s">
        <v>98</v>
      </c>
      <c r="H240" s="13">
        <v>2313188</v>
      </c>
      <c r="I240" t="s">
        <v>75</v>
      </c>
      <c r="J240" t="s">
        <v>99</v>
      </c>
      <c r="K240">
        <v>2313188</v>
      </c>
    </row>
    <row r="241" spans="1:11" x14ac:dyDescent="0.25">
      <c r="A241" t="s">
        <v>147</v>
      </c>
      <c r="B241">
        <v>2018</v>
      </c>
      <c r="C241">
        <v>248138</v>
      </c>
      <c r="D241" t="s">
        <v>58</v>
      </c>
      <c r="E241" t="s">
        <v>72</v>
      </c>
      <c r="F241">
        <v>93.667000000000002</v>
      </c>
      <c r="G241" t="s">
        <v>101</v>
      </c>
      <c r="H241" s="13">
        <v>235815</v>
      </c>
      <c r="I241" t="s">
        <v>75</v>
      </c>
      <c r="J241" t="s">
        <v>102</v>
      </c>
      <c r="K241">
        <v>235815</v>
      </c>
    </row>
    <row r="242" spans="1:11" x14ac:dyDescent="0.25">
      <c r="A242" t="s">
        <v>93</v>
      </c>
      <c r="B242">
        <v>2018</v>
      </c>
      <c r="C242">
        <v>15188</v>
      </c>
      <c r="D242" t="s">
        <v>59</v>
      </c>
      <c r="E242" t="s">
        <v>75</v>
      </c>
      <c r="F242">
        <v>10.558</v>
      </c>
      <c r="G242" t="s">
        <v>74</v>
      </c>
      <c r="H242" s="13">
        <v>813939</v>
      </c>
      <c r="I242" t="s">
        <v>75</v>
      </c>
      <c r="J242" t="s">
        <v>76</v>
      </c>
      <c r="K242">
        <v>813939</v>
      </c>
    </row>
    <row r="243" spans="1:11" x14ac:dyDescent="0.25">
      <c r="A243" t="s">
        <v>93</v>
      </c>
      <c r="B243">
        <v>2018</v>
      </c>
      <c r="C243">
        <v>15188</v>
      </c>
      <c r="D243" t="s">
        <v>59</v>
      </c>
      <c r="E243" t="s">
        <v>75</v>
      </c>
      <c r="F243">
        <v>14.228</v>
      </c>
      <c r="G243" t="e">
        <v>#N/A</v>
      </c>
      <c r="H243" s="13">
        <v>256789</v>
      </c>
      <c r="I243" t="s">
        <v>72</v>
      </c>
      <c r="J243" t="s">
        <v>138</v>
      </c>
      <c r="K243">
        <v>256789</v>
      </c>
    </row>
    <row r="244" spans="1:11" x14ac:dyDescent="0.25">
      <c r="A244" t="s">
        <v>93</v>
      </c>
      <c r="B244">
        <v>2018</v>
      </c>
      <c r="C244">
        <v>15188</v>
      </c>
      <c r="D244" t="s">
        <v>59</v>
      </c>
      <c r="E244" t="s">
        <v>75</v>
      </c>
      <c r="F244">
        <v>14.269</v>
      </c>
      <c r="G244" t="e">
        <v>#N/A</v>
      </c>
      <c r="H244" s="13">
        <v>464484</v>
      </c>
      <c r="I244" t="s">
        <v>72</v>
      </c>
      <c r="J244" t="s">
        <v>182</v>
      </c>
      <c r="K244">
        <v>464484</v>
      </c>
    </row>
    <row r="245" spans="1:11" x14ac:dyDescent="0.25">
      <c r="A245" t="s">
        <v>93</v>
      </c>
      <c r="B245">
        <v>2018</v>
      </c>
      <c r="C245">
        <v>15188</v>
      </c>
      <c r="D245" t="s">
        <v>59</v>
      </c>
      <c r="E245" t="s">
        <v>75</v>
      </c>
      <c r="F245">
        <v>45.024000000000001</v>
      </c>
      <c r="G245" t="e">
        <v>#N/A</v>
      </c>
      <c r="H245" s="13">
        <v>15000</v>
      </c>
      <c r="I245" t="s">
        <v>72</v>
      </c>
      <c r="J245" t="s">
        <v>183</v>
      </c>
      <c r="K245">
        <v>15000</v>
      </c>
    </row>
    <row r="246" spans="1:11" x14ac:dyDescent="0.25">
      <c r="A246" t="s">
        <v>93</v>
      </c>
      <c r="B246">
        <v>2018</v>
      </c>
      <c r="C246">
        <v>15188</v>
      </c>
      <c r="D246" t="s">
        <v>59</v>
      </c>
      <c r="E246" t="s">
        <v>75</v>
      </c>
      <c r="F246">
        <v>84.001999999999995</v>
      </c>
      <c r="G246" t="e">
        <v>#N/A</v>
      </c>
      <c r="H246" s="13">
        <v>549687</v>
      </c>
      <c r="I246" t="s">
        <v>72</v>
      </c>
      <c r="J246" t="s">
        <v>125</v>
      </c>
      <c r="K246">
        <v>549687</v>
      </c>
    </row>
    <row r="247" spans="1:11" x14ac:dyDescent="0.25">
      <c r="A247" t="s">
        <v>93</v>
      </c>
      <c r="B247">
        <v>2018</v>
      </c>
      <c r="C247">
        <v>15188</v>
      </c>
      <c r="D247" t="s">
        <v>59</v>
      </c>
      <c r="E247" t="s">
        <v>75</v>
      </c>
      <c r="F247">
        <v>84.043999999999997</v>
      </c>
      <c r="G247" t="e">
        <v>#N/A</v>
      </c>
      <c r="H247" s="13">
        <v>570294</v>
      </c>
      <c r="I247" t="s">
        <v>72</v>
      </c>
      <c r="J247" t="s">
        <v>126</v>
      </c>
      <c r="K247">
        <v>570294</v>
      </c>
    </row>
    <row r="248" spans="1:11" x14ac:dyDescent="0.25">
      <c r="A248" t="s">
        <v>93</v>
      </c>
      <c r="B248">
        <v>2018</v>
      </c>
      <c r="C248">
        <v>15188</v>
      </c>
      <c r="D248" t="s">
        <v>59</v>
      </c>
      <c r="E248" t="s">
        <v>75</v>
      </c>
      <c r="F248">
        <v>93.045000000000002</v>
      </c>
      <c r="G248" t="s">
        <v>111</v>
      </c>
      <c r="H248" s="13">
        <v>38752</v>
      </c>
      <c r="I248" t="s">
        <v>75</v>
      </c>
      <c r="J248" t="s">
        <v>149</v>
      </c>
      <c r="K248">
        <v>38752</v>
      </c>
    </row>
    <row r="249" spans="1:11" x14ac:dyDescent="0.25">
      <c r="A249" t="s">
        <v>93</v>
      </c>
      <c r="B249">
        <v>2018</v>
      </c>
      <c r="C249">
        <v>15188</v>
      </c>
      <c r="D249" t="s">
        <v>59</v>
      </c>
      <c r="E249" t="s">
        <v>75</v>
      </c>
      <c r="F249">
        <v>93.052999999999997</v>
      </c>
      <c r="G249" t="s">
        <v>113</v>
      </c>
      <c r="H249" s="13">
        <v>27481</v>
      </c>
      <c r="I249" t="s">
        <v>75</v>
      </c>
      <c r="J249" t="s">
        <v>114</v>
      </c>
      <c r="K249">
        <v>27481</v>
      </c>
    </row>
    <row r="250" spans="1:11" x14ac:dyDescent="0.25">
      <c r="A250" t="s">
        <v>93</v>
      </c>
      <c r="B250">
        <v>2018</v>
      </c>
      <c r="C250">
        <v>15188</v>
      </c>
      <c r="D250" t="s">
        <v>59</v>
      </c>
      <c r="E250" t="s">
        <v>75</v>
      </c>
      <c r="F250">
        <v>93.558000000000007</v>
      </c>
      <c r="G250" t="s">
        <v>82</v>
      </c>
      <c r="H250" s="13">
        <v>64769</v>
      </c>
      <c r="I250" t="s">
        <v>75</v>
      </c>
      <c r="J250" t="s">
        <v>83</v>
      </c>
      <c r="K250">
        <v>64769</v>
      </c>
    </row>
    <row r="251" spans="1:11" x14ac:dyDescent="0.25">
      <c r="A251" t="s">
        <v>93</v>
      </c>
      <c r="B251">
        <v>2018</v>
      </c>
      <c r="C251">
        <v>15188</v>
      </c>
      <c r="D251" t="s">
        <v>59</v>
      </c>
      <c r="E251" t="s">
        <v>75</v>
      </c>
      <c r="F251">
        <v>93.569000000000003</v>
      </c>
      <c r="G251" t="s">
        <v>90</v>
      </c>
      <c r="H251" s="13">
        <v>130300</v>
      </c>
      <c r="I251" t="s">
        <v>75</v>
      </c>
      <c r="J251" t="s">
        <v>91</v>
      </c>
      <c r="K251">
        <v>130300</v>
      </c>
    </row>
    <row r="252" spans="1:11" x14ac:dyDescent="0.25">
      <c r="A252" t="s">
        <v>93</v>
      </c>
      <c r="B252">
        <v>2018</v>
      </c>
      <c r="C252">
        <v>15188</v>
      </c>
      <c r="D252" t="s">
        <v>59</v>
      </c>
      <c r="E252" t="s">
        <v>75</v>
      </c>
      <c r="F252">
        <v>93.6</v>
      </c>
      <c r="G252" t="s">
        <v>98</v>
      </c>
      <c r="H252" s="13">
        <v>5043590</v>
      </c>
      <c r="I252" t="s">
        <v>75</v>
      </c>
      <c r="J252" t="s">
        <v>99</v>
      </c>
      <c r="K252">
        <v>1631788</v>
      </c>
    </row>
    <row r="253" spans="1:11" x14ac:dyDescent="0.25">
      <c r="A253" t="s">
        <v>93</v>
      </c>
      <c r="B253">
        <v>2018</v>
      </c>
      <c r="C253">
        <v>15188</v>
      </c>
      <c r="D253" t="s">
        <v>59</v>
      </c>
      <c r="E253" t="s">
        <v>75</v>
      </c>
      <c r="F253">
        <v>93.667000000000002</v>
      </c>
      <c r="G253" t="s">
        <v>101</v>
      </c>
      <c r="H253" s="13">
        <v>64519</v>
      </c>
      <c r="I253" t="s">
        <v>75</v>
      </c>
      <c r="J253" t="s">
        <v>102</v>
      </c>
      <c r="K253">
        <v>64519</v>
      </c>
    </row>
    <row r="254" spans="1:11" x14ac:dyDescent="0.25">
      <c r="A254" t="s">
        <v>93</v>
      </c>
      <c r="B254">
        <v>2018</v>
      </c>
      <c r="C254">
        <v>15188</v>
      </c>
      <c r="D254" t="s">
        <v>59</v>
      </c>
      <c r="E254" t="s">
        <v>75</v>
      </c>
      <c r="F254">
        <v>94.019000000000005</v>
      </c>
      <c r="G254" t="e">
        <v>#N/A</v>
      </c>
      <c r="H254" s="13">
        <v>24672</v>
      </c>
      <c r="I254" t="s">
        <v>72</v>
      </c>
      <c r="J254" t="s">
        <v>146</v>
      </c>
      <c r="K254">
        <v>24672</v>
      </c>
    </row>
    <row r="255" spans="1:11" x14ac:dyDescent="0.25">
      <c r="A255" t="s">
        <v>93</v>
      </c>
      <c r="B255">
        <v>2018</v>
      </c>
      <c r="C255">
        <v>15188</v>
      </c>
      <c r="D255" t="s">
        <v>59</v>
      </c>
      <c r="E255" t="s">
        <v>75</v>
      </c>
      <c r="F255">
        <v>97.024000000000001</v>
      </c>
      <c r="G255" t="s">
        <v>87</v>
      </c>
      <c r="H255" s="13">
        <v>29394</v>
      </c>
      <c r="I255" t="s">
        <v>75</v>
      </c>
      <c r="J255" t="s">
        <v>88</v>
      </c>
      <c r="K255">
        <v>29394</v>
      </c>
    </row>
    <row r="256" spans="1:11" x14ac:dyDescent="0.25">
      <c r="A256" t="s">
        <v>147</v>
      </c>
      <c r="B256">
        <v>2018</v>
      </c>
      <c r="C256">
        <v>15312</v>
      </c>
      <c r="D256" t="s">
        <v>60</v>
      </c>
      <c r="E256" t="s">
        <v>72</v>
      </c>
      <c r="F256">
        <v>93.558000000000007</v>
      </c>
      <c r="G256" t="s">
        <v>82</v>
      </c>
      <c r="H256" s="13">
        <v>663443</v>
      </c>
      <c r="I256" t="s">
        <v>75</v>
      </c>
      <c r="J256" t="s">
        <v>83</v>
      </c>
      <c r="K256">
        <v>663443</v>
      </c>
    </row>
    <row r="257" spans="1:11" x14ac:dyDescent="0.25">
      <c r="A257" t="s">
        <v>147</v>
      </c>
      <c r="B257">
        <v>2018</v>
      </c>
      <c r="C257">
        <v>15312</v>
      </c>
      <c r="D257" t="s">
        <v>60</v>
      </c>
      <c r="E257" t="s">
        <v>72</v>
      </c>
      <c r="F257">
        <v>93.938999999999993</v>
      </c>
      <c r="G257" t="e">
        <v>#N/A</v>
      </c>
      <c r="H257" s="13">
        <v>333781</v>
      </c>
      <c r="I257" t="s">
        <v>72</v>
      </c>
      <c r="J257" t="s">
        <v>86</v>
      </c>
      <c r="K257">
        <v>333781</v>
      </c>
    </row>
    <row r="258" spans="1:11" x14ac:dyDescent="0.25">
      <c r="A258" t="s">
        <v>147</v>
      </c>
      <c r="B258">
        <v>2018</v>
      </c>
      <c r="C258">
        <v>15312</v>
      </c>
      <c r="D258" t="s">
        <v>60</v>
      </c>
      <c r="E258" t="s">
        <v>72</v>
      </c>
      <c r="F258">
        <v>97.024000000000001</v>
      </c>
      <c r="G258" t="s">
        <v>87</v>
      </c>
      <c r="H258" s="13">
        <v>22702</v>
      </c>
      <c r="I258" t="s">
        <v>75</v>
      </c>
      <c r="J258" t="s">
        <v>88</v>
      </c>
      <c r="K258">
        <v>22702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17293-1799-44E0-9163-95D87EACABF7}">
  <sheetPr codeName="Sheet8"/>
  <dimension ref="B2:D68"/>
  <sheetViews>
    <sheetView topLeftCell="A36" zoomScale="60" zoomScaleNormal="60" workbookViewId="0">
      <selection activeCell="B6" sqref="B6"/>
    </sheetView>
  </sheetViews>
  <sheetFormatPr defaultRowHeight="15" x14ac:dyDescent="0.25"/>
  <cols>
    <col min="3" max="3" width="88" customWidth="1"/>
    <col min="4" max="4" width="16.5703125" customWidth="1"/>
  </cols>
  <sheetData>
    <row r="2" spans="2:4" x14ac:dyDescent="0.25">
      <c r="B2" s="35" t="s">
        <v>0</v>
      </c>
      <c r="C2" s="35" t="s">
        <v>1</v>
      </c>
      <c r="D2" s="35" t="s">
        <v>428</v>
      </c>
    </row>
    <row r="3" spans="2:4" x14ac:dyDescent="0.25">
      <c r="B3" s="47">
        <v>93.659000000000006</v>
      </c>
      <c r="C3" s="48" t="s">
        <v>230</v>
      </c>
      <c r="D3" s="36">
        <v>92303969</v>
      </c>
    </row>
    <row r="4" spans="2:4" x14ac:dyDescent="0.25">
      <c r="B4" s="47">
        <v>84.001999999999995</v>
      </c>
      <c r="C4" s="48" t="s">
        <v>206</v>
      </c>
      <c r="D4" s="36" t="e">
        <v>#N/A</v>
      </c>
    </row>
    <row r="5" spans="2:4" x14ac:dyDescent="0.25">
      <c r="B5" s="47">
        <v>93.623000000000005</v>
      </c>
      <c r="C5" s="48" t="s">
        <v>305</v>
      </c>
      <c r="D5" s="36" t="e">
        <v>#N/A</v>
      </c>
    </row>
    <row r="6" spans="2:4" x14ac:dyDescent="0.25">
      <c r="B6" s="47">
        <v>93.957999999999998</v>
      </c>
      <c r="C6" s="48" t="s">
        <v>239</v>
      </c>
      <c r="D6" s="36">
        <v>18163436</v>
      </c>
    </row>
    <row r="7" spans="2:4" x14ac:dyDescent="0.25">
      <c r="B7" s="47">
        <v>93.959000000000003</v>
      </c>
      <c r="C7" s="48" t="s">
        <v>240</v>
      </c>
      <c r="D7" s="36">
        <v>30598933</v>
      </c>
    </row>
    <row r="8" spans="2:4" x14ac:dyDescent="0.25">
      <c r="B8" s="47">
        <v>84.048000000000002</v>
      </c>
      <c r="C8" s="48" t="s">
        <v>284</v>
      </c>
      <c r="D8" s="36">
        <v>13115610</v>
      </c>
    </row>
    <row r="9" spans="2:4" x14ac:dyDescent="0.25">
      <c r="B9" s="47">
        <v>93.575000000000003</v>
      </c>
      <c r="C9" s="48" t="s">
        <v>292</v>
      </c>
      <c r="D9" s="36">
        <v>481577439</v>
      </c>
    </row>
    <row r="10" spans="2:4" x14ac:dyDescent="0.25">
      <c r="B10" s="47">
        <v>93.563000000000002</v>
      </c>
      <c r="C10" s="48" t="s">
        <v>227</v>
      </c>
      <c r="D10" s="36">
        <v>58085706</v>
      </c>
    </row>
    <row r="11" spans="2:4" x14ac:dyDescent="0.25">
      <c r="B11" s="47">
        <v>93.766999999999996</v>
      </c>
      <c r="C11" s="48" t="s">
        <v>232</v>
      </c>
      <c r="D11" s="36" t="e">
        <v>#N/A</v>
      </c>
    </row>
    <row r="12" spans="2:4" x14ac:dyDescent="0.25">
      <c r="B12" s="47">
        <v>14.218</v>
      </c>
      <c r="C12" s="48" t="s">
        <v>288</v>
      </c>
      <c r="D12" s="36">
        <v>125870794</v>
      </c>
    </row>
    <row r="13" spans="2:4" x14ac:dyDescent="0.25">
      <c r="B13" s="47">
        <v>14.228</v>
      </c>
      <c r="C13" s="48" t="s">
        <v>193</v>
      </c>
      <c r="D13" s="36">
        <v>2739137</v>
      </c>
    </row>
    <row r="14" spans="2:4" x14ac:dyDescent="0.25">
      <c r="B14" s="47">
        <v>93.569000000000003</v>
      </c>
      <c r="C14" s="48" t="s">
        <v>280</v>
      </c>
      <c r="D14" s="36">
        <v>32670715</v>
      </c>
    </row>
    <row r="15" spans="2:4" x14ac:dyDescent="0.25">
      <c r="B15" s="47">
        <v>93.57</v>
      </c>
      <c r="C15" s="48" t="s">
        <v>300</v>
      </c>
      <c r="D15" s="36">
        <v>10030380</v>
      </c>
    </row>
    <row r="16" spans="2:4" x14ac:dyDescent="0.25">
      <c r="B16" s="47">
        <v>93.59</v>
      </c>
      <c r="C16" s="48" t="s">
        <v>301</v>
      </c>
      <c r="D16" s="36" t="e">
        <v>#N/A</v>
      </c>
    </row>
    <row r="17" spans="2:4" x14ac:dyDescent="0.25">
      <c r="B17" s="47">
        <v>16.738</v>
      </c>
      <c r="C17" s="48" t="s">
        <v>276</v>
      </c>
      <c r="D17" s="36">
        <v>3137291</v>
      </c>
    </row>
    <row r="18" spans="2:4" x14ac:dyDescent="0.25">
      <c r="B18" s="47">
        <v>97.024000000000001</v>
      </c>
      <c r="C18" s="48" t="s">
        <v>245</v>
      </c>
      <c r="D18" s="36">
        <v>104580</v>
      </c>
    </row>
    <row r="19" spans="2:4" x14ac:dyDescent="0.25">
      <c r="B19" s="47">
        <v>97.042000000000002</v>
      </c>
      <c r="C19" s="48" t="s">
        <v>277</v>
      </c>
      <c r="D19" s="36">
        <v>3037181</v>
      </c>
    </row>
    <row r="20" spans="2:4" x14ac:dyDescent="0.25">
      <c r="B20" s="47">
        <v>93.126999999999995</v>
      </c>
      <c r="C20" s="48" t="s">
        <v>298</v>
      </c>
      <c r="D20" s="36">
        <v>6513</v>
      </c>
    </row>
    <row r="21" spans="2:4" x14ac:dyDescent="0.25">
      <c r="B21" s="47">
        <v>14.231</v>
      </c>
      <c r="C21" s="48" t="s">
        <v>194</v>
      </c>
      <c r="D21" s="36">
        <v>14874878</v>
      </c>
    </row>
    <row r="22" spans="2:4" x14ac:dyDescent="0.25">
      <c r="B22" s="47">
        <v>84.364999999999995</v>
      </c>
      <c r="C22" s="48" t="s">
        <v>281</v>
      </c>
      <c r="D22" s="36">
        <v>36580718</v>
      </c>
    </row>
    <row r="23" spans="2:4" x14ac:dyDescent="0.25">
      <c r="B23" s="47">
        <v>93.671000000000006</v>
      </c>
      <c r="C23" s="48" t="s">
        <v>310</v>
      </c>
      <c r="D23" s="36" t="e">
        <v>#N/A</v>
      </c>
    </row>
    <row r="24" spans="2:4" x14ac:dyDescent="0.25">
      <c r="B24" s="47">
        <v>93.658000000000001</v>
      </c>
      <c r="C24" s="48" t="s">
        <v>291</v>
      </c>
      <c r="D24" s="36">
        <v>265910784</v>
      </c>
    </row>
    <row r="25" spans="2:4" x14ac:dyDescent="0.25">
      <c r="B25" s="47">
        <v>93.6</v>
      </c>
      <c r="C25" s="48" t="s">
        <v>98</v>
      </c>
      <c r="D25" s="36">
        <v>118052109</v>
      </c>
    </row>
    <row r="26" spans="2:4" x14ac:dyDescent="0.25">
      <c r="B26" s="47">
        <v>93.224000000000004</v>
      </c>
      <c r="C26" s="48" t="s">
        <v>217</v>
      </c>
      <c r="D26" s="36" t="e">
        <v>#N/A</v>
      </c>
    </row>
    <row r="27" spans="2:4" x14ac:dyDescent="0.25">
      <c r="B27" s="47">
        <v>93.926000000000002</v>
      </c>
      <c r="C27" s="48" t="s">
        <v>306</v>
      </c>
      <c r="D27" s="36">
        <v>684299</v>
      </c>
    </row>
    <row r="28" spans="2:4" x14ac:dyDescent="0.25">
      <c r="B28" s="47">
        <v>20.204999999999998</v>
      </c>
      <c r="C28" s="48" t="s">
        <v>296</v>
      </c>
      <c r="D28" s="36">
        <v>72163649</v>
      </c>
    </row>
    <row r="29" spans="2:4" x14ac:dyDescent="0.25">
      <c r="B29" s="47">
        <v>93.917000000000002</v>
      </c>
      <c r="C29" s="48" t="s">
        <v>236</v>
      </c>
      <c r="D29" s="36" t="e">
        <v>#N/A</v>
      </c>
    </row>
    <row r="30" spans="2:4" x14ac:dyDescent="0.25">
      <c r="B30" s="47">
        <v>93.914000000000001</v>
      </c>
      <c r="C30" s="48" t="s">
        <v>235</v>
      </c>
      <c r="D30" s="36">
        <v>96418108</v>
      </c>
    </row>
    <row r="31" spans="2:4" x14ac:dyDescent="0.25">
      <c r="B31" s="47">
        <v>93.94</v>
      </c>
      <c r="C31" s="48" t="s">
        <v>313</v>
      </c>
      <c r="D31" s="36">
        <v>42522354</v>
      </c>
    </row>
    <row r="32" spans="2:4" x14ac:dyDescent="0.25">
      <c r="B32" s="47">
        <v>14.239000000000001</v>
      </c>
      <c r="C32" s="48" t="s">
        <v>197</v>
      </c>
      <c r="D32" s="36">
        <v>5326221</v>
      </c>
    </row>
    <row r="33" spans="2:4" x14ac:dyDescent="0.25">
      <c r="B33" s="47">
        <v>97.066999999999993</v>
      </c>
      <c r="C33" s="48" t="s">
        <v>279</v>
      </c>
      <c r="D33" s="36">
        <v>149910542</v>
      </c>
    </row>
    <row r="34" spans="2:4" x14ac:dyDescent="0.25">
      <c r="B34" s="47">
        <v>93.073999999999998</v>
      </c>
      <c r="C34" s="48" t="s">
        <v>275</v>
      </c>
      <c r="D34" s="36">
        <v>14892942</v>
      </c>
    </row>
    <row r="35" spans="2:4" x14ac:dyDescent="0.25">
      <c r="B35" s="47">
        <v>14.241</v>
      </c>
      <c r="C35" s="48" t="s">
        <v>278</v>
      </c>
      <c r="D35" s="36">
        <v>49923543</v>
      </c>
    </row>
    <row r="36" spans="2:4" x14ac:dyDescent="0.25">
      <c r="B36" s="47">
        <v>93.268000000000001</v>
      </c>
      <c r="C36" s="48" t="s">
        <v>219</v>
      </c>
      <c r="D36" s="36">
        <v>3905270</v>
      </c>
    </row>
    <row r="37" spans="2:4" x14ac:dyDescent="0.25">
      <c r="B37" s="47">
        <v>84.040999999999997</v>
      </c>
      <c r="C37" s="48" t="s">
        <v>285</v>
      </c>
      <c r="D37" s="36">
        <v>9495625</v>
      </c>
    </row>
    <row r="38" spans="2:4" x14ac:dyDescent="0.25">
      <c r="B38" s="47">
        <v>93.135999999999996</v>
      </c>
      <c r="C38" s="48" t="s">
        <v>303</v>
      </c>
      <c r="D38" s="36">
        <v>183522</v>
      </c>
    </row>
    <row r="39" spans="2:4" x14ac:dyDescent="0.25">
      <c r="B39" s="47">
        <v>14.856</v>
      </c>
      <c r="C39" s="48" t="s">
        <v>293</v>
      </c>
      <c r="D39" s="36">
        <v>6749230</v>
      </c>
    </row>
    <row r="40" spans="2:4" x14ac:dyDescent="0.25">
      <c r="B40" s="47">
        <v>93.567999999999998</v>
      </c>
      <c r="C40" s="48" t="s">
        <v>289</v>
      </c>
      <c r="D40" s="36">
        <v>41883835</v>
      </c>
    </row>
    <row r="41" spans="2:4" x14ac:dyDescent="0.25">
      <c r="B41" s="47">
        <v>93.994</v>
      </c>
      <c r="C41" s="48" t="s">
        <v>241</v>
      </c>
      <c r="D41" s="36">
        <v>3166107</v>
      </c>
    </row>
    <row r="42" spans="2:4" x14ac:dyDescent="0.25">
      <c r="B42" s="47">
        <v>93.778000000000006</v>
      </c>
      <c r="C42" s="48" t="s">
        <v>297</v>
      </c>
      <c r="D42" s="36">
        <v>320319006</v>
      </c>
    </row>
    <row r="43" spans="2:4" x14ac:dyDescent="0.25">
      <c r="B43" s="47">
        <v>93.052000000000007</v>
      </c>
      <c r="C43" s="48" t="s">
        <v>311</v>
      </c>
      <c r="D43" s="36">
        <v>3567817</v>
      </c>
    </row>
    <row r="44" spans="2:4" x14ac:dyDescent="0.25">
      <c r="B44" s="47">
        <v>93.052999999999997</v>
      </c>
      <c r="C44" s="48" t="s">
        <v>309</v>
      </c>
      <c r="D44" s="36">
        <v>11495056</v>
      </c>
    </row>
    <row r="45" spans="2:4" x14ac:dyDescent="0.25">
      <c r="B45" s="47">
        <v>93.116</v>
      </c>
      <c r="C45" s="48" t="s">
        <v>307</v>
      </c>
      <c r="D45" s="36">
        <v>4189869</v>
      </c>
    </row>
    <row r="46" spans="2:4" x14ac:dyDescent="0.25">
      <c r="B46" s="47">
        <v>93.15</v>
      </c>
      <c r="C46" s="48" t="s">
        <v>304</v>
      </c>
      <c r="D46" s="36">
        <v>2627352</v>
      </c>
    </row>
    <row r="47" spans="2:4" x14ac:dyDescent="0.25">
      <c r="B47" s="47">
        <v>93.555999999999997</v>
      </c>
      <c r="C47" s="48" t="s">
        <v>225</v>
      </c>
      <c r="D47" s="36">
        <v>16500000</v>
      </c>
    </row>
    <row r="48" spans="2:4" x14ac:dyDescent="0.25">
      <c r="B48" s="47">
        <v>84.126000000000005</v>
      </c>
      <c r="C48" s="48" t="s">
        <v>210</v>
      </c>
      <c r="D48" s="36" t="e">
        <v>#N/A</v>
      </c>
    </row>
    <row r="49" spans="2:4" x14ac:dyDescent="0.25">
      <c r="B49" s="47">
        <v>14.871</v>
      </c>
      <c r="C49" s="48" t="s">
        <v>295</v>
      </c>
      <c r="D49" s="36">
        <v>465676891</v>
      </c>
    </row>
    <row r="50" spans="2:4" x14ac:dyDescent="0.25">
      <c r="B50" s="47">
        <v>93.977000000000004</v>
      </c>
      <c r="C50" s="48" t="s">
        <v>308</v>
      </c>
      <c r="D50" s="36">
        <v>5494027</v>
      </c>
    </row>
    <row r="51" spans="2:4" x14ac:dyDescent="0.25">
      <c r="B51" s="47">
        <v>93.667000000000002</v>
      </c>
      <c r="C51" s="48" t="s">
        <v>286</v>
      </c>
      <c r="D51" s="36">
        <v>205216596</v>
      </c>
    </row>
    <row r="52" spans="2:4" x14ac:dyDescent="0.25">
      <c r="B52" s="47">
        <v>84.027000000000001</v>
      </c>
      <c r="C52" s="48" t="s">
        <v>208</v>
      </c>
      <c r="D52" s="36">
        <v>290584801</v>
      </c>
    </row>
    <row r="53" spans="2:4" x14ac:dyDescent="0.25">
      <c r="B53" s="47">
        <v>93.043999999999997</v>
      </c>
      <c r="C53" s="48" t="s">
        <v>312</v>
      </c>
      <c r="D53" s="36">
        <v>9924437</v>
      </c>
    </row>
    <row r="54" spans="2:4" x14ac:dyDescent="0.25">
      <c r="B54" s="47">
        <v>93.045000000000002</v>
      </c>
      <c r="C54" s="48" t="s">
        <v>314</v>
      </c>
      <c r="D54" s="36">
        <v>18955836</v>
      </c>
    </row>
    <row r="55" spans="2:4" x14ac:dyDescent="0.25">
      <c r="B55" s="47">
        <v>93.043000000000006</v>
      </c>
      <c r="C55" s="48" t="s">
        <v>299</v>
      </c>
      <c r="D55" s="36">
        <v>1325529</v>
      </c>
    </row>
    <row r="56" spans="2:4" x14ac:dyDescent="0.25">
      <c r="B56" s="47">
        <v>10.561</v>
      </c>
      <c r="C56" s="48" t="s">
        <v>290</v>
      </c>
      <c r="D56" s="36">
        <v>195927683</v>
      </c>
    </row>
    <row r="57" spans="2:4" x14ac:dyDescent="0.25">
      <c r="B57" s="47">
        <v>16.606000000000002</v>
      </c>
      <c r="C57" s="48" t="s">
        <v>274</v>
      </c>
      <c r="D57" s="36">
        <v>0</v>
      </c>
    </row>
    <row r="58" spans="2:4" x14ac:dyDescent="0.25">
      <c r="B58" s="47">
        <v>93.242999999999995</v>
      </c>
      <c r="C58" s="48" t="s">
        <v>218</v>
      </c>
      <c r="D58" s="36">
        <v>111746</v>
      </c>
    </row>
    <row r="59" spans="2:4" x14ac:dyDescent="0.25">
      <c r="B59" s="47">
        <v>84.367000000000004</v>
      </c>
      <c r="C59" s="48" t="s">
        <v>287</v>
      </c>
      <c r="D59" s="36">
        <v>77564074</v>
      </c>
    </row>
    <row r="60" spans="2:4" x14ac:dyDescent="0.25">
      <c r="B60" s="47">
        <v>84.373999999999995</v>
      </c>
      <c r="C60" s="48" t="s">
        <v>272</v>
      </c>
      <c r="D60" s="36">
        <v>3710771</v>
      </c>
    </row>
    <row r="61" spans="2:4" x14ac:dyDescent="0.25">
      <c r="B61" s="47">
        <v>93.558000000000007</v>
      </c>
      <c r="C61" s="48" t="s">
        <v>294</v>
      </c>
      <c r="D61" s="36">
        <v>1760389105</v>
      </c>
    </row>
    <row r="62" spans="2:4" x14ac:dyDescent="0.25">
      <c r="B62" s="47">
        <v>93.521000000000001</v>
      </c>
      <c r="C62" s="48" t="s">
        <v>302</v>
      </c>
      <c r="D62" s="36">
        <v>1818967</v>
      </c>
    </row>
    <row r="63" spans="2:4" x14ac:dyDescent="0.25">
      <c r="B63" s="47">
        <v>84.287000000000006</v>
      </c>
      <c r="C63" s="48" t="s">
        <v>213</v>
      </c>
      <c r="D63" s="36">
        <v>26018273</v>
      </c>
    </row>
    <row r="64" spans="2:4" x14ac:dyDescent="0.25">
      <c r="B64" s="47">
        <v>93.676000000000002</v>
      </c>
      <c r="C64" s="48" t="s">
        <v>231</v>
      </c>
      <c r="D64" s="36" t="e">
        <v>#N/A</v>
      </c>
    </row>
    <row r="65" spans="2:4" x14ac:dyDescent="0.25">
      <c r="B65" s="47">
        <v>16.588000000000001</v>
      </c>
      <c r="C65" s="48" t="s">
        <v>273</v>
      </c>
      <c r="D65" s="36">
        <v>670604</v>
      </c>
    </row>
    <row r="66" spans="2:4" x14ac:dyDescent="0.25">
      <c r="B66" s="47">
        <v>17.257999999999999</v>
      </c>
      <c r="C66" s="48" t="s">
        <v>282</v>
      </c>
      <c r="D66" s="36">
        <v>23401560</v>
      </c>
    </row>
    <row r="67" spans="2:4" x14ac:dyDescent="0.25">
      <c r="B67" s="47">
        <v>17.277999999999999</v>
      </c>
      <c r="C67" s="48" t="s">
        <v>283</v>
      </c>
      <c r="D67" s="36">
        <v>9355570</v>
      </c>
    </row>
    <row r="68" spans="2:4" x14ac:dyDescent="0.25">
      <c r="B68" s="47">
        <v>17.259</v>
      </c>
      <c r="C68" s="48" t="s">
        <v>107</v>
      </c>
      <c r="D68" s="36">
        <v>26145170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5172-A775-4BEB-A189-0E6758968386}">
  <sheetPr codeName="Sheet2"/>
  <dimension ref="A1:J233"/>
  <sheetViews>
    <sheetView workbookViewId="0">
      <selection activeCell="E15" sqref="E15"/>
    </sheetView>
  </sheetViews>
  <sheetFormatPr defaultRowHeight="15" x14ac:dyDescent="0.25"/>
  <cols>
    <col min="3" max="3" width="22.5703125" bestFit="1" customWidth="1"/>
    <col min="4" max="4" width="87.140625" customWidth="1"/>
    <col min="5" max="6" width="17.85546875" bestFit="1" customWidth="1"/>
    <col min="7" max="7" width="35.5703125" bestFit="1" customWidth="1"/>
    <col min="8" max="8" width="17.85546875" bestFit="1" customWidth="1"/>
    <col min="9" max="9" width="17.85546875" customWidth="1"/>
    <col min="10" max="10" width="17" bestFit="1" customWidth="1"/>
  </cols>
  <sheetData>
    <row r="1" spans="1:10" x14ac:dyDescent="0.25">
      <c r="A1" s="14" t="s">
        <v>0</v>
      </c>
      <c r="B1" t="s">
        <v>184</v>
      </c>
      <c r="C1" t="s">
        <v>266</v>
      </c>
      <c r="D1" t="s">
        <v>185</v>
      </c>
      <c r="E1" s="15" t="s">
        <v>186</v>
      </c>
      <c r="F1" s="15" t="s">
        <v>187</v>
      </c>
      <c r="G1" s="15" t="s">
        <v>265</v>
      </c>
      <c r="H1" s="15" t="s">
        <v>188</v>
      </c>
      <c r="I1" s="15" t="s">
        <v>264</v>
      </c>
      <c r="J1" s="15" t="s">
        <v>189</v>
      </c>
    </row>
    <row r="2" spans="1:10" x14ac:dyDescent="0.25">
      <c r="A2" s="16">
        <v>10.331</v>
      </c>
      <c r="B2" t="s">
        <v>72</v>
      </c>
      <c r="D2" t="s">
        <v>321</v>
      </c>
      <c r="E2" s="21" t="s">
        <v>268</v>
      </c>
      <c r="F2" s="21" t="s">
        <v>268</v>
      </c>
      <c r="G2" s="18" t="e">
        <f>(BudgetApprop_Data[[#This Row],[President]]-BudgetApprop_Data[[#This Row],[FY 2019]])/BudgetApprop_Data[[#This Row],[FY 2019]]</f>
        <v>#VALUE!</v>
      </c>
      <c r="H2" s="21" t="s">
        <v>268</v>
      </c>
      <c r="I2" s="18" t="e">
        <f>(BudgetApprop_Data[[#This Row],[Latest House]]-BudgetApprop_Data[[#This Row],[FY 2019]])/BudgetApprop_Data[[#This Row],[FY 2019]]</f>
        <v>#VALUE!</v>
      </c>
      <c r="J2" s="19"/>
    </row>
    <row r="3" spans="1:10" x14ac:dyDescent="0.25">
      <c r="A3" s="40">
        <v>10.553000000000001</v>
      </c>
      <c r="B3" t="s">
        <v>72</v>
      </c>
      <c r="D3" t="s">
        <v>190</v>
      </c>
      <c r="E3" s="21" t="s">
        <v>268</v>
      </c>
      <c r="F3" s="21" t="s">
        <v>268</v>
      </c>
      <c r="G3" s="22" t="e">
        <f>(BudgetApprop_Data[[#This Row],[President]]-BudgetApprop_Data[[#This Row],[FY 2019]])/BudgetApprop_Data[[#This Row],[FY 2019]]</f>
        <v>#VALUE!</v>
      </c>
      <c r="H3" s="21" t="s">
        <v>268</v>
      </c>
      <c r="I3" s="22" t="e">
        <f>(BudgetApprop_Data[[#This Row],[Latest House]]-BudgetApprop_Data[[#This Row],[FY 2019]])/BudgetApprop_Data[[#This Row],[FY 2019]]</f>
        <v>#VALUE!</v>
      </c>
      <c r="J3" s="15"/>
    </row>
    <row r="4" spans="1:10" x14ac:dyDescent="0.25">
      <c r="A4" s="39">
        <v>10.555</v>
      </c>
      <c r="B4" t="s">
        <v>75</v>
      </c>
      <c r="D4" t="s">
        <v>191</v>
      </c>
      <c r="E4" s="21" t="s">
        <v>268</v>
      </c>
      <c r="F4" s="21" t="s">
        <v>268</v>
      </c>
      <c r="G4" s="22" t="e">
        <f>(BudgetApprop_Data[[#This Row],[President]]-BudgetApprop_Data[[#This Row],[FY 2019]])/BudgetApprop_Data[[#This Row],[FY 2019]]</f>
        <v>#VALUE!</v>
      </c>
      <c r="H4" s="21" t="s">
        <v>268</v>
      </c>
      <c r="I4" s="22" t="e">
        <f>(BudgetApprop_Data[[#This Row],[Latest House]]-BudgetApprop_Data[[#This Row],[FY 2019]])/BudgetApprop_Data[[#This Row],[FY 2019]]</f>
        <v>#VALUE!</v>
      </c>
      <c r="J4" s="15"/>
    </row>
    <row r="5" spans="1:10" x14ac:dyDescent="0.25">
      <c r="A5" s="75">
        <v>10.558</v>
      </c>
      <c r="B5" t="s">
        <v>75</v>
      </c>
      <c r="D5" t="s">
        <v>319</v>
      </c>
      <c r="E5" s="21" t="s">
        <v>268</v>
      </c>
      <c r="F5" s="21" t="s">
        <v>268</v>
      </c>
      <c r="G5" s="22">
        <v>6.0000000000000001E-3</v>
      </c>
      <c r="H5" s="21" t="s">
        <v>268</v>
      </c>
      <c r="I5" s="22" t="e">
        <f>(BudgetApprop_Data[[#This Row],[Latest House]]-BudgetApprop_Data[[#This Row],[FY 2019]])/BudgetApprop_Data[[#This Row],[FY 2019]]</f>
        <v>#VALUE!</v>
      </c>
      <c r="J5" s="15"/>
    </row>
    <row r="6" spans="1:10" x14ac:dyDescent="0.25">
      <c r="A6" s="16">
        <v>10.558999999999999</v>
      </c>
      <c r="B6" t="s">
        <v>72</v>
      </c>
      <c r="D6" t="s">
        <v>322</v>
      </c>
      <c r="E6" s="21" t="s">
        <v>268</v>
      </c>
      <c r="F6" s="21" t="s">
        <v>268</v>
      </c>
      <c r="G6" s="18" t="e">
        <f>(BudgetApprop_Data[[#This Row],[President]]-BudgetApprop_Data[[#This Row],[FY 2019]])/BudgetApprop_Data[[#This Row],[FY 2019]]</f>
        <v>#VALUE!</v>
      </c>
      <c r="H6" s="21" t="s">
        <v>268</v>
      </c>
      <c r="I6" s="18" t="e">
        <f>(BudgetApprop_Data[[#This Row],[Latest House]]-BudgetApprop_Data[[#This Row],[FY 2019]])/BudgetApprop_Data[[#This Row],[FY 2019]]</f>
        <v>#VALUE!</v>
      </c>
      <c r="J6" s="19"/>
    </row>
    <row r="7" spans="1:10" x14ac:dyDescent="0.25">
      <c r="A7" s="77">
        <v>10.561</v>
      </c>
      <c r="B7" t="s">
        <v>75</v>
      </c>
      <c r="C7" t="s">
        <v>267</v>
      </c>
      <c r="D7" t="s">
        <v>290</v>
      </c>
      <c r="E7" s="21">
        <v>4618000</v>
      </c>
      <c r="F7" s="21">
        <v>4973000</v>
      </c>
      <c r="G7" s="22"/>
      <c r="H7" s="21">
        <v>4966000</v>
      </c>
      <c r="I7" s="22">
        <f>(BudgetApprop_Data[[#This Row],[Latest House]]-BudgetApprop_Data[[#This Row],[FY 2019]])/BudgetApprop_Data[[#This Row],[FY 2019]]</f>
        <v>7.5357297531398873E-2</v>
      </c>
      <c r="J7" s="15"/>
    </row>
    <row r="8" spans="1:10" x14ac:dyDescent="0.25">
      <c r="A8" s="40">
        <v>10.569000000000001</v>
      </c>
      <c r="B8" t="s">
        <v>72</v>
      </c>
      <c r="D8" t="s">
        <v>192</v>
      </c>
      <c r="E8" s="21" t="s">
        <v>268</v>
      </c>
      <c r="F8" s="21" t="s">
        <v>268</v>
      </c>
      <c r="G8" s="22" t="e">
        <f>(BudgetApprop_Data[[#This Row],[President]]-BudgetApprop_Data[[#This Row],[FY 2019]])/BudgetApprop_Data[[#This Row],[FY 2019]]</f>
        <v>#VALUE!</v>
      </c>
      <c r="H8" s="21" t="s">
        <v>268</v>
      </c>
      <c r="I8" s="22" t="e">
        <f>(BudgetApprop_Data[[#This Row],[Latest House]]-BudgetApprop_Data[[#This Row],[FY 2019]])/BudgetApprop_Data[[#This Row],[FY 2019]]</f>
        <v>#VALUE!</v>
      </c>
      <c r="J8" s="15"/>
    </row>
    <row r="9" spans="1:10" x14ac:dyDescent="0.25">
      <c r="A9" s="16">
        <v>10.58</v>
      </c>
      <c r="B9" t="s">
        <v>72</v>
      </c>
      <c r="D9" t="s">
        <v>323</v>
      </c>
      <c r="E9" s="21" t="s">
        <v>268</v>
      </c>
      <c r="F9" s="21" t="s">
        <v>268</v>
      </c>
      <c r="G9" s="18" t="e">
        <f>(BudgetApprop_Data[[#This Row],[President]]-BudgetApprop_Data[[#This Row],[FY 2019]])/BudgetApprop_Data[[#This Row],[FY 2019]]</f>
        <v>#VALUE!</v>
      </c>
      <c r="H9" s="21" t="s">
        <v>268</v>
      </c>
      <c r="I9" s="18" t="e">
        <f>(BudgetApprop_Data[[#This Row],[Latest House]]-BudgetApprop_Data[[#This Row],[FY 2019]])/BudgetApprop_Data[[#This Row],[FY 2019]]</f>
        <v>#VALUE!</v>
      </c>
      <c r="J9" s="19"/>
    </row>
    <row r="10" spans="1:10" x14ac:dyDescent="0.25">
      <c r="A10" s="23">
        <v>10.664</v>
      </c>
      <c r="B10" t="s">
        <v>72</v>
      </c>
      <c r="D10" t="s">
        <v>324</v>
      </c>
      <c r="E10" s="21" t="s">
        <v>268</v>
      </c>
      <c r="F10" s="21" t="s">
        <v>268</v>
      </c>
      <c r="G10" s="18" t="e">
        <f>(BudgetApprop_Data[[#This Row],[President]]-BudgetApprop_Data[[#This Row],[FY 2019]])/BudgetApprop_Data[[#This Row],[FY 2019]]</f>
        <v>#VALUE!</v>
      </c>
      <c r="H10" s="21" t="s">
        <v>268</v>
      </c>
      <c r="I10" s="18" t="e">
        <f>(BudgetApprop_Data[[#This Row],[Latest House]]-BudgetApprop_Data[[#This Row],[FY 2019]])/BudgetApprop_Data[[#This Row],[FY 2019]]</f>
        <v>#VALUE!</v>
      </c>
      <c r="J10" s="19"/>
    </row>
    <row r="11" spans="1:10" x14ac:dyDescent="0.25">
      <c r="A11" s="16">
        <v>11.419</v>
      </c>
      <c r="B11" t="s">
        <v>72</v>
      </c>
      <c r="D11" t="s">
        <v>325</v>
      </c>
      <c r="E11" s="21" t="s">
        <v>268</v>
      </c>
      <c r="F11" s="21" t="s">
        <v>268</v>
      </c>
      <c r="G11" s="18" t="e">
        <f>(BudgetApprop_Data[[#This Row],[President]]-BudgetApprop_Data[[#This Row],[FY 2019]])/BudgetApprop_Data[[#This Row],[FY 2019]]</f>
        <v>#VALUE!</v>
      </c>
      <c r="H11" s="21" t="s">
        <v>268</v>
      </c>
      <c r="I11" s="18" t="e">
        <f>(BudgetApprop_Data[[#This Row],[Latest House]]-BudgetApprop_Data[[#This Row],[FY 2019]])/BudgetApprop_Data[[#This Row],[FY 2019]]</f>
        <v>#VALUE!</v>
      </c>
      <c r="J11" s="19"/>
    </row>
    <row r="12" spans="1:10" x14ac:dyDescent="0.25">
      <c r="A12" s="23">
        <v>11.483000000000001</v>
      </c>
      <c r="B12" t="s">
        <v>72</v>
      </c>
      <c r="D12" t="s">
        <v>326</v>
      </c>
      <c r="E12" s="21" t="s">
        <v>268</v>
      </c>
      <c r="F12" s="21" t="s">
        <v>268</v>
      </c>
      <c r="G12" s="18" t="e">
        <f>(BudgetApprop_Data[[#This Row],[President]]-BudgetApprop_Data[[#This Row],[FY 2019]])/BudgetApprop_Data[[#This Row],[FY 2019]]</f>
        <v>#VALUE!</v>
      </c>
      <c r="H12" s="21" t="s">
        <v>268</v>
      </c>
      <c r="I12" s="18" t="e">
        <f>(BudgetApprop_Data[[#This Row],[Latest House]]-BudgetApprop_Data[[#This Row],[FY 2019]])/BudgetApprop_Data[[#This Row],[FY 2019]]</f>
        <v>#VALUE!</v>
      </c>
      <c r="J12" s="19"/>
    </row>
    <row r="13" spans="1:10" x14ac:dyDescent="0.25">
      <c r="A13" s="16">
        <v>12.002000000000001</v>
      </c>
      <c r="B13" t="s">
        <v>72</v>
      </c>
      <c r="D13" t="s">
        <v>327</v>
      </c>
      <c r="E13" s="21" t="s">
        <v>268</v>
      </c>
      <c r="F13" s="21" t="s">
        <v>268</v>
      </c>
      <c r="G13" s="18" t="e">
        <f>(BudgetApprop_Data[[#This Row],[President]]-BudgetApprop_Data[[#This Row],[FY 2019]])/BudgetApprop_Data[[#This Row],[FY 2019]]</f>
        <v>#VALUE!</v>
      </c>
      <c r="H13" s="21" t="s">
        <v>268</v>
      </c>
      <c r="I13" s="18" t="e">
        <f>(BudgetApprop_Data[[#This Row],[Latest House]]-BudgetApprop_Data[[#This Row],[FY 2019]])/BudgetApprop_Data[[#This Row],[FY 2019]]</f>
        <v>#VALUE!</v>
      </c>
      <c r="J13" s="19"/>
    </row>
    <row r="14" spans="1:10" x14ac:dyDescent="0.25">
      <c r="A14" s="23">
        <v>14.148999999999999</v>
      </c>
      <c r="B14" t="s">
        <v>72</v>
      </c>
      <c r="D14" t="s">
        <v>328</v>
      </c>
      <c r="E14" s="21" t="s">
        <v>268</v>
      </c>
      <c r="F14" s="21" t="s">
        <v>268</v>
      </c>
      <c r="G14" s="18" t="e">
        <f>(BudgetApprop_Data[[#This Row],[President]]-BudgetApprop_Data[[#This Row],[FY 2019]])/BudgetApprop_Data[[#This Row],[FY 2019]]</f>
        <v>#VALUE!</v>
      </c>
      <c r="H14" s="21" t="s">
        <v>268</v>
      </c>
      <c r="I14" s="18" t="e">
        <f>(BudgetApprop_Data[[#This Row],[Latest House]]-BudgetApprop_Data[[#This Row],[FY 2019]])/BudgetApprop_Data[[#This Row],[FY 2019]]</f>
        <v>#VALUE!</v>
      </c>
      <c r="J14" s="19"/>
    </row>
    <row r="15" spans="1:10" x14ac:dyDescent="0.25">
      <c r="A15" s="20">
        <v>14.218</v>
      </c>
      <c r="B15" t="s">
        <v>75</v>
      </c>
      <c r="C15" t="s">
        <v>267</v>
      </c>
      <c r="D15" t="s">
        <v>288</v>
      </c>
      <c r="E15" s="21">
        <v>2312000</v>
      </c>
      <c r="F15" s="21">
        <v>0</v>
      </c>
      <c r="G15" s="22">
        <f>(BudgetApprop_Data[[#This Row],[President]]-BudgetApprop_Data[[#This Row],[FY 2019]])/BudgetApprop_Data[[#This Row],[FY 2019]]</f>
        <v>-1</v>
      </c>
      <c r="H15" s="21">
        <v>2522000</v>
      </c>
      <c r="I15" s="22">
        <f>(BudgetApprop_Data[[#This Row],[Latest House]]-BudgetApprop_Data[[#This Row],[FY 2019]])/BudgetApprop_Data[[#This Row],[FY 2019]]</f>
        <v>9.0830449826989623E-2</v>
      </c>
      <c r="J15" s="15"/>
    </row>
    <row r="16" spans="1:10" x14ac:dyDescent="0.25">
      <c r="A16" s="20">
        <v>14.228</v>
      </c>
      <c r="B16" t="s">
        <v>72</v>
      </c>
      <c r="C16" t="s">
        <v>267</v>
      </c>
      <c r="D16" t="s">
        <v>193</v>
      </c>
      <c r="E16" s="21">
        <v>988000</v>
      </c>
      <c r="F16" s="21">
        <v>0</v>
      </c>
      <c r="G16" s="22">
        <f>(BudgetApprop_Data[[#This Row],[President]]-BudgetApprop_Data[[#This Row],[FY 2019]])/BudgetApprop_Data[[#This Row],[FY 2019]]</f>
        <v>-1</v>
      </c>
      <c r="H16" s="21">
        <v>1078000</v>
      </c>
      <c r="I16" s="22">
        <f>(BudgetApprop_Data[[#This Row],[Latest House]]-BudgetApprop_Data[[#This Row],[FY 2019]])/BudgetApprop_Data[[#This Row],[FY 2019]]</f>
        <v>9.1093117408906882E-2</v>
      </c>
      <c r="J16" s="15"/>
    </row>
    <row r="17" spans="1:10" x14ac:dyDescent="0.25">
      <c r="A17" s="20">
        <v>14.231</v>
      </c>
      <c r="B17" t="s">
        <v>72</v>
      </c>
      <c r="C17" t="s">
        <v>267</v>
      </c>
      <c r="D17" t="s">
        <v>194</v>
      </c>
      <c r="E17" s="21">
        <v>2636000</v>
      </c>
      <c r="F17" s="21">
        <v>2599000</v>
      </c>
      <c r="G17" s="22">
        <f>(BudgetApprop_Data[[#This Row],[President]]-BudgetApprop_Data[[#This Row],[FY 2019]])/BudgetApprop_Data[[#This Row],[FY 2019]]</f>
        <v>-1.4036418816388467E-2</v>
      </c>
      <c r="H17" s="21">
        <v>2800000</v>
      </c>
      <c r="I17" s="22">
        <f>(BudgetApprop_Data[[#This Row],[Latest House]]-BudgetApprop_Data[[#This Row],[FY 2019]])/BudgetApprop_Data[[#This Row],[FY 2019]]</f>
        <v>6.2215477996965099E-2</v>
      </c>
      <c r="J17" s="15"/>
    </row>
    <row r="18" spans="1:10" x14ac:dyDescent="0.25">
      <c r="A18" s="40">
        <v>14.234999999999999</v>
      </c>
      <c r="B18" t="s">
        <v>72</v>
      </c>
      <c r="D18" t="s">
        <v>195</v>
      </c>
      <c r="E18" s="21" t="s">
        <v>268</v>
      </c>
      <c r="F18" s="21" t="s">
        <v>268</v>
      </c>
      <c r="G18" s="22" t="e">
        <f>(BudgetApprop_Data[[#This Row],[President]]-BudgetApprop_Data[[#This Row],[FY 2019]])/BudgetApprop_Data[[#This Row],[FY 2019]]</f>
        <v>#VALUE!</v>
      </c>
      <c r="H18" s="21" t="s">
        <v>268</v>
      </c>
      <c r="I18" s="22" t="e">
        <f>(BudgetApprop_Data[[#This Row],[Latest House]]-BudgetApprop_Data[[#This Row],[FY 2019]])/BudgetApprop_Data[[#This Row],[FY 2019]]</f>
        <v>#VALUE!</v>
      </c>
      <c r="J18" s="15"/>
    </row>
    <row r="19" spans="1:10" x14ac:dyDescent="0.25">
      <c r="A19" s="40">
        <v>14.238</v>
      </c>
      <c r="B19" t="s">
        <v>72</v>
      </c>
      <c r="D19" t="s">
        <v>196</v>
      </c>
      <c r="E19" s="21" t="s">
        <v>268</v>
      </c>
      <c r="F19" s="21" t="s">
        <v>268</v>
      </c>
      <c r="G19" s="22" t="e">
        <f>(BudgetApprop_Data[[#This Row],[President]]-BudgetApprop_Data[[#This Row],[FY 2019]])/BudgetApprop_Data[[#This Row],[FY 2019]]</f>
        <v>#VALUE!</v>
      </c>
      <c r="H19" s="21" t="s">
        <v>268</v>
      </c>
      <c r="I19" s="22" t="e">
        <f>(BudgetApprop_Data[[#This Row],[Latest House]]-BudgetApprop_Data[[#This Row],[FY 2019]])/BudgetApprop_Data[[#This Row],[FY 2019]]</f>
        <v>#VALUE!</v>
      </c>
      <c r="J19" s="15"/>
    </row>
    <row r="20" spans="1:10" x14ac:dyDescent="0.25">
      <c r="A20" s="20">
        <v>14.239000000000001</v>
      </c>
      <c r="B20" t="s">
        <v>72</v>
      </c>
      <c r="C20" t="s">
        <v>267</v>
      </c>
      <c r="D20" t="s">
        <v>197</v>
      </c>
      <c r="E20" s="21">
        <v>1250000</v>
      </c>
      <c r="F20" s="21">
        <v>0</v>
      </c>
      <c r="G20" s="22">
        <f>(BudgetApprop_Data[[#This Row],[President]]-BudgetApprop_Data[[#This Row],[FY 2019]])/BudgetApprop_Data[[#This Row],[FY 2019]]</f>
        <v>-1</v>
      </c>
      <c r="H20" s="21">
        <v>1750000</v>
      </c>
      <c r="I20" s="22">
        <f>(BudgetApprop_Data[[#This Row],[Latest House]]-BudgetApprop_Data[[#This Row],[FY 2019]])/BudgetApprop_Data[[#This Row],[FY 2019]]</f>
        <v>0.4</v>
      </c>
      <c r="J20" s="15"/>
    </row>
    <row r="21" spans="1:10" x14ac:dyDescent="0.25">
      <c r="A21" s="20">
        <v>14.241</v>
      </c>
      <c r="B21" t="s">
        <v>75</v>
      </c>
      <c r="C21" t="s">
        <v>267</v>
      </c>
      <c r="D21" t="s">
        <v>278</v>
      </c>
      <c r="E21" s="21">
        <v>393000</v>
      </c>
      <c r="F21" s="21">
        <v>330000</v>
      </c>
      <c r="G21" s="22">
        <f>(BudgetApprop_Data[[#This Row],[President]]-BudgetApprop_Data[[#This Row],[FY 2019]])/BudgetApprop_Data[[#This Row],[FY 2019]]</f>
        <v>-0.16030534351145037</v>
      </c>
      <c r="H21" s="21">
        <v>410000</v>
      </c>
      <c r="I21" s="22">
        <f>(BudgetApprop_Data[[#This Row],[Latest House]]-BudgetApprop_Data[[#This Row],[FY 2019]])/BudgetApprop_Data[[#This Row],[FY 2019]]</f>
        <v>4.3256997455470736E-2</v>
      </c>
      <c r="J21" s="15"/>
    </row>
    <row r="22" spans="1:10" x14ac:dyDescent="0.25">
      <c r="A22" s="16">
        <v>14.249000000000001</v>
      </c>
      <c r="B22" t="s">
        <v>72</v>
      </c>
      <c r="D22" t="s">
        <v>329</v>
      </c>
      <c r="E22" s="21" t="s">
        <v>268</v>
      </c>
      <c r="F22" s="21" t="s">
        <v>268</v>
      </c>
      <c r="G22" s="18" t="e">
        <f>(BudgetApprop_Data[[#This Row],[President]]-BudgetApprop_Data[[#This Row],[FY 2019]])/BudgetApprop_Data[[#This Row],[FY 2019]]</f>
        <v>#VALUE!</v>
      </c>
      <c r="H22" s="21" t="s">
        <v>268</v>
      </c>
      <c r="I22" s="18" t="e">
        <f>(BudgetApprop_Data[[#This Row],[Latest House]]-BudgetApprop_Data[[#This Row],[FY 2019]])/BudgetApprop_Data[[#This Row],[FY 2019]]</f>
        <v>#VALUE!</v>
      </c>
      <c r="J22" s="19"/>
    </row>
    <row r="23" spans="1:10" x14ac:dyDescent="0.25">
      <c r="A23" s="40">
        <v>14.252000000000001</v>
      </c>
      <c r="B23" t="s">
        <v>72</v>
      </c>
      <c r="D23" t="s">
        <v>198</v>
      </c>
      <c r="E23" s="21" t="s">
        <v>268</v>
      </c>
      <c r="F23" s="21" t="s">
        <v>268</v>
      </c>
      <c r="G23" s="22" t="e">
        <f>(BudgetApprop_Data[[#This Row],[President]]-BudgetApprop_Data[[#This Row],[FY 2019]])/BudgetApprop_Data[[#This Row],[FY 2019]]</f>
        <v>#VALUE!</v>
      </c>
      <c r="H23" s="21" t="s">
        <v>268</v>
      </c>
      <c r="I23" s="22" t="e">
        <f>(BudgetApprop_Data[[#This Row],[Latest House]]-BudgetApprop_Data[[#This Row],[FY 2019]])/BudgetApprop_Data[[#This Row],[FY 2019]]</f>
        <v>#VALUE!</v>
      </c>
      <c r="J23" s="15"/>
    </row>
    <row r="24" spans="1:10" x14ac:dyDescent="0.25">
      <c r="A24" s="40">
        <v>14.266999999999999</v>
      </c>
      <c r="B24" t="s">
        <v>72</v>
      </c>
      <c r="D24" t="s">
        <v>199</v>
      </c>
      <c r="E24" s="21" t="s">
        <v>268</v>
      </c>
      <c r="F24" s="21" t="s">
        <v>268</v>
      </c>
      <c r="G24" s="22" t="e">
        <f>(BudgetApprop_Data[[#This Row],[President]]-BudgetApprop_Data[[#This Row],[FY 2019]])/BudgetApprop_Data[[#This Row],[FY 2019]]</f>
        <v>#VALUE!</v>
      </c>
      <c r="H24" s="21" t="s">
        <v>268</v>
      </c>
      <c r="I24" s="22" t="e">
        <f>(BudgetApprop_Data[[#This Row],[Latest House]]-BudgetApprop_Data[[#This Row],[FY 2019]])/BudgetApprop_Data[[#This Row],[FY 2019]]</f>
        <v>#VALUE!</v>
      </c>
      <c r="J24" s="15"/>
    </row>
    <row r="25" spans="1:10" x14ac:dyDescent="0.25">
      <c r="A25" s="40">
        <v>14.269</v>
      </c>
      <c r="B25" t="s">
        <v>72</v>
      </c>
      <c r="D25" t="s">
        <v>200</v>
      </c>
      <c r="E25" s="21" t="s">
        <v>268</v>
      </c>
      <c r="F25" s="21" t="s">
        <v>268</v>
      </c>
      <c r="G25" s="22" t="e">
        <f>(BudgetApprop_Data[[#This Row],[President]]-BudgetApprop_Data[[#This Row],[FY 2019]])/BudgetApprop_Data[[#This Row],[FY 2019]]</f>
        <v>#VALUE!</v>
      </c>
      <c r="H25" s="21" t="s">
        <v>268</v>
      </c>
      <c r="I25" s="22" t="e">
        <f>(BudgetApprop_Data[[#This Row],[Latest House]]-BudgetApprop_Data[[#This Row],[FY 2019]])/BudgetApprop_Data[[#This Row],[FY 2019]]</f>
        <v>#VALUE!</v>
      </c>
      <c r="J25" s="15"/>
    </row>
    <row r="26" spans="1:10" x14ac:dyDescent="0.25">
      <c r="A26" s="23">
        <v>14.272</v>
      </c>
      <c r="B26" t="s">
        <v>72</v>
      </c>
      <c r="D26" t="s">
        <v>330</v>
      </c>
      <c r="E26" s="21" t="s">
        <v>268</v>
      </c>
      <c r="F26" s="21" t="s">
        <v>268</v>
      </c>
      <c r="G26" s="18" t="e">
        <f>(BudgetApprop_Data[[#This Row],[President]]-BudgetApprop_Data[[#This Row],[FY 2019]])/BudgetApprop_Data[[#This Row],[FY 2019]]</f>
        <v>#VALUE!</v>
      </c>
      <c r="H26" s="21" t="s">
        <v>268</v>
      </c>
      <c r="I26" s="18" t="e">
        <f>(BudgetApprop_Data[[#This Row],[Latest House]]-BudgetApprop_Data[[#This Row],[FY 2019]])/BudgetApprop_Data[[#This Row],[FY 2019]]</f>
        <v>#VALUE!</v>
      </c>
      <c r="J26" s="19"/>
    </row>
    <row r="27" spans="1:10" x14ac:dyDescent="0.25">
      <c r="A27" s="16">
        <v>14.856</v>
      </c>
      <c r="B27" t="s">
        <v>72</v>
      </c>
      <c r="C27" t="s">
        <v>267</v>
      </c>
      <c r="D27" t="s">
        <v>293</v>
      </c>
      <c r="E27" s="17">
        <v>11747000</v>
      </c>
      <c r="F27" s="17">
        <v>12021000</v>
      </c>
      <c r="G27" s="18">
        <f>(BudgetApprop_Data[[#This Row],[President]]-BudgetApprop_Data[[#This Row],[FY 2019]])/BudgetApprop_Data[[#This Row],[FY 2019]]</f>
        <v>2.3325104281944325E-2</v>
      </c>
      <c r="H27" s="17">
        <v>12590000</v>
      </c>
      <c r="I27" s="18">
        <f>(BudgetApprop_Data[[#This Row],[Latest House]]-BudgetApprop_Data[[#This Row],[FY 2019]])/BudgetApprop_Data[[#This Row],[FY 2019]]</f>
        <v>7.1763003319996591E-2</v>
      </c>
      <c r="J27" s="19"/>
    </row>
    <row r="28" spans="1:10" x14ac:dyDescent="0.25">
      <c r="A28" s="23">
        <v>14.871</v>
      </c>
      <c r="B28" t="s">
        <v>72</v>
      </c>
      <c r="C28" t="s">
        <v>267</v>
      </c>
      <c r="D28" t="s">
        <v>295</v>
      </c>
      <c r="E28" s="17">
        <v>22598000</v>
      </c>
      <c r="F28" s="17">
        <v>22244000</v>
      </c>
      <c r="G28" s="18">
        <f>(BudgetApprop_Data[[#This Row],[President]]-BudgetApprop_Data[[#This Row],[FY 2019]])/BudgetApprop_Data[[#This Row],[FY 2019]]</f>
        <v>-1.56651031064696E-2</v>
      </c>
      <c r="H28" s="17">
        <v>23810000</v>
      </c>
      <c r="I28" s="18">
        <f>(BudgetApprop_Data[[#This Row],[Latest House]]-BudgetApprop_Data[[#This Row],[FY 2019]])/BudgetApprop_Data[[#This Row],[FY 2019]]</f>
        <v>5.3633064872997613E-2</v>
      </c>
      <c r="J28" s="19"/>
    </row>
    <row r="29" spans="1:10" x14ac:dyDescent="0.25">
      <c r="A29" s="16">
        <v>14.896000000000001</v>
      </c>
      <c r="B29" t="s">
        <v>72</v>
      </c>
      <c r="D29" t="s">
        <v>331</v>
      </c>
      <c r="E29" s="21" t="s">
        <v>268</v>
      </c>
      <c r="F29" s="21" t="s">
        <v>268</v>
      </c>
      <c r="G29" s="18" t="e">
        <f>(BudgetApprop_Data[[#This Row],[President]]-BudgetApprop_Data[[#This Row],[FY 2019]])/BudgetApprop_Data[[#This Row],[FY 2019]]</f>
        <v>#VALUE!</v>
      </c>
      <c r="H29" s="21" t="s">
        <v>268</v>
      </c>
      <c r="I29" s="18" t="e">
        <f>(BudgetApprop_Data[[#This Row],[Latest House]]-BudgetApprop_Data[[#This Row],[FY 2019]])/BudgetApprop_Data[[#This Row],[FY 2019]]</f>
        <v>#VALUE!</v>
      </c>
      <c r="J29" s="19"/>
    </row>
    <row r="30" spans="1:10" x14ac:dyDescent="0.25">
      <c r="A30" s="23">
        <v>14.904999999999999</v>
      </c>
      <c r="B30" t="s">
        <v>72</v>
      </c>
      <c r="D30" t="s">
        <v>332</v>
      </c>
      <c r="E30" s="21" t="s">
        <v>268</v>
      </c>
      <c r="F30" s="21" t="s">
        <v>268</v>
      </c>
      <c r="G30" s="18" t="e">
        <f>(BudgetApprop_Data[[#This Row],[President]]-BudgetApprop_Data[[#This Row],[FY 2019]])/BudgetApprop_Data[[#This Row],[FY 2019]]</f>
        <v>#VALUE!</v>
      </c>
      <c r="H30" s="21" t="s">
        <v>268</v>
      </c>
      <c r="I30" s="18" t="e">
        <f>(BudgetApprop_Data[[#This Row],[Latest House]]-BudgetApprop_Data[[#This Row],[FY 2019]])/BudgetApprop_Data[[#This Row],[FY 2019]]</f>
        <v>#VALUE!</v>
      </c>
      <c r="J30" s="19"/>
    </row>
    <row r="31" spans="1:10" x14ac:dyDescent="0.25">
      <c r="A31" s="16">
        <v>15.153</v>
      </c>
      <c r="B31" t="s">
        <v>72</v>
      </c>
      <c r="D31" t="s">
        <v>333</v>
      </c>
      <c r="E31" s="21" t="s">
        <v>268</v>
      </c>
      <c r="F31" s="21" t="s">
        <v>268</v>
      </c>
      <c r="G31" s="18" t="e">
        <f>(BudgetApprop_Data[[#This Row],[President]]-BudgetApprop_Data[[#This Row],[FY 2019]])/BudgetApprop_Data[[#This Row],[FY 2019]]</f>
        <v>#VALUE!</v>
      </c>
      <c r="H31" s="21" t="s">
        <v>268</v>
      </c>
      <c r="I31" s="18" t="e">
        <f>(BudgetApprop_Data[[#This Row],[Latest House]]-BudgetApprop_Data[[#This Row],[FY 2019]])/BudgetApprop_Data[[#This Row],[FY 2019]]</f>
        <v>#VALUE!</v>
      </c>
      <c r="J31" s="19"/>
    </row>
    <row r="32" spans="1:10" x14ac:dyDescent="0.25">
      <c r="A32" s="23">
        <v>15.622999999999999</v>
      </c>
      <c r="B32" t="s">
        <v>72</v>
      </c>
      <c r="D32" t="s">
        <v>334</v>
      </c>
      <c r="E32" s="21" t="s">
        <v>268</v>
      </c>
      <c r="F32" s="21" t="s">
        <v>268</v>
      </c>
      <c r="G32" s="18" t="e">
        <f>(BudgetApprop_Data[[#This Row],[President]]-BudgetApprop_Data[[#This Row],[FY 2019]])/BudgetApprop_Data[[#This Row],[FY 2019]]</f>
        <v>#VALUE!</v>
      </c>
      <c r="H32" s="21" t="s">
        <v>268</v>
      </c>
      <c r="I32" s="18" t="e">
        <f>(BudgetApprop_Data[[#This Row],[Latest House]]-BudgetApprop_Data[[#This Row],[FY 2019]])/BudgetApprop_Data[[#This Row],[FY 2019]]</f>
        <v>#VALUE!</v>
      </c>
      <c r="J32" s="19"/>
    </row>
    <row r="33" spans="1:10" x14ac:dyDescent="0.25">
      <c r="A33" s="16">
        <v>15.944000000000001</v>
      </c>
      <c r="B33" t="s">
        <v>72</v>
      </c>
      <c r="D33" t="s">
        <v>335</v>
      </c>
      <c r="E33" s="21" t="s">
        <v>268</v>
      </c>
      <c r="F33" s="21" t="s">
        <v>268</v>
      </c>
      <c r="G33" s="18" t="e">
        <f>(BudgetApprop_Data[[#This Row],[President]]-BudgetApprop_Data[[#This Row],[FY 2019]])/BudgetApprop_Data[[#This Row],[FY 2019]]</f>
        <v>#VALUE!</v>
      </c>
      <c r="H33" s="21" t="s">
        <v>268</v>
      </c>
      <c r="I33" s="18" t="e">
        <f>(BudgetApprop_Data[[#This Row],[Latest House]]-BudgetApprop_Data[[#This Row],[FY 2019]])/BudgetApprop_Data[[#This Row],[FY 2019]]</f>
        <v>#VALUE!</v>
      </c>
      <c r="J33" s="19"/>
    </row>
    <row r="34" spans="1:10" x14ac:dyDescent="0.25">
      <c r="A34" s="23">
        <v>15.946</v>
      </c>
      <c r="B34" t="s">
        <v>72</v>
      </c>
      <c r="D34" t="s">
        <v>336</v>
      </c>
      <c r="E34" s="21" t="s">
        <v>268</v>
      </c>
      <c r="F34" s="21" t="s">
        <v>268</v>
      </c>
      <c r="G34" s="18" t="e">
        <f>(BudgetApprop_Data[[#This Row],[President]]-BudgetApprop_Data[[#This Row],[FY 2019]])/BudgetApprop_Data[[#This Row],[FY 2019]]</f>
        <v>#VALUE!</v>
      </c>
      <c r="H34" s="21" t="s">
        <v>268</v>
      </c>
      <c r="I34" s="18" t="e">
        <f>(BudgetApprop_Data[[#This Row],[Latest House]]-BudgetApprop_Data[[#This Row],[FY 2019]])/BudgetApprop_Data[[#This Row],[FY 2019]]</f>
        <v>#VALUE!</v>
      </c>
      <c r="J34" s="19"/>
    </row>
    <row r="35" spans="1:10" x14ac:dyDescent="0.25">
      <c r="A35" s="16">
        <v>16.004000000000001</v>
      </c>
      <c r="B35" t="s">
        <v>72</v>
      </c>
      <c r="D35" t="s">
        <v>337</v>
      </c>
      <c r="E35" s="21" t="s">
        <v>268</v>
      </c>
      <c r="F35" s="21" t="s">
        <v>268</v>
      </c>
      <c r="G35" s="18" t="e">
        <f>(BudgetApprop_Data[[#This Row],[President]]-BudgetApprop_Data[[#This Row],[FY 2019]])/BudgetApprop_Data[[#This Row],[FY 2019]]</f>
        <v>#VALUE!</v>
      </c>
      <c r="H35" s="21" t="s">
        <v>268</v>
      </c>
      <c r="I35" s="18" t="e">
        <f>(BudgetApprop_Data[[#This Row],[Latest House]]-BudgetApprop_Data[[#This Row],[FY 2019]])/BudgetApprop_Data[[#This Row],[FY 2019]]</f>
        <v>#VALUE!</v>
      </c>
      <c r="J35" s="19"/>
    </row>
    <row r="36" spans="1:10" x14ac:dyDescent="0.25">
      <c r="A36" s="23">
        <v>16.021000000000001</v>
      </c>
      <c r="B36" t="s">
        <v>72</v>
      </c>
      <c r="D36" t="s">
        <v>338</v>
      </c>
      <c r="E36" s="21" t="s">
        <v>268</v>
      </c>
      <c r="F36" s="21" t="s">
        <v>268</v>
      </c>
      <c r="G36" s="18" t="e">
        <f>(BudgetApprop_Data[[#This Row],[President]]-BudgetApprop_Data[[#This Row],[FY 2019]])/BudgetApprop_Data[[#This Row],[FY 2019]]</f>
        <v>#VALUE!</v>
      </c>
      <c r="H36" s="21" t="s">
        <v>268</v>
      </c>
      <c r="I36" s="18" t="e">
        <f>(BudgetApprop_Data[[#This Row],[Latest House]]-BudgetApprop_Data[[#This Row],[FY 2019]])/BudgetApprop_Data[[#This Row],[FY 2019]]</f>
        <v>#VALUE!</v>
      </c>
      <c r="J36" s="19"/>
    </row>
    <row r="37" spans="1:10" x14ac:dyDescent="0.25">
      <c r="A37" s="16">
        <v>16.123000000000001</v>
      </c>
      <c r="B37" t="s">
        <v>72</v>
      </c>
      <c r="D37" t="s">
        <v>339</v>
      </c>
      <c r="E37" s="21" t="s">
        <v>268</v>
      </c>
      <c r="F37" s="21" t="s">
        <v>268</v>
      </c>
      <c r="G37" s="18" t="e">
        <f>(BudgetApprop_Data[[#This Row],[President]]-BudgetApprop_Data[[#This Row],[FY 2019]])/BudgetApprop_Data[[#This Row],[FY 2019]]</f>
        <v>#VALUE!</v>
      </c>
      <c r="H37" s="21" t="s">
        <v>268</v>
      </c>
      <c r="I37" s="18" t="e">
        <f>(BudgetApprop_Data[[#This Row],[Latest House]]-BudgetApprop_Data[[#This Row],[FY 2019]])/BudgetApprop_Data[[#This Row],[FY 2019]]</f>
        <v>#VALUE!</v>
      </c>
      <c r="J37" s="19"/>
    </row>
    <row r="38" spans="1:10" x14ac:dyDescent="0.25">
      <c r="A38" s="23">
        <v>16.204999999999998</v>
      </c>
      <c r="B38" t="s">
        <v>72</v>
      </c>
      <c r="D38" t="e">
        <v>#N/A</v>
      </c>
      <c r="E38" s="21" t="s">
        <v>268</v>
      </c>
      <c r="F38" s="21" t="s">
        <v>268</v>
      </c>
      <c r="G38" s="18" t="e">
        <f>(BudgetApprop_Data[[#This Row],[President]]-BudgetApprop_Data[[#This Row],[FY 2019]])/BudgetApprop_Data[[#This Row],[FY 2019]]</f>
        <v>#VALUE!</v>
      </c>
      <c r="H38" s="21" t="s">
        <v>268</v>
      </c>
      <c r="I38" s="18" t="e">
        <f>(BudgetApprop_Data[[#This Row],[Latest House]]-BudgetApprop_Data[[#This Row],[FY 2019]])/BudgetApprop_Data[[#This Row],[FY 2019]]</f>
        <v>#VALUE!</v>
      </c>
      <c r="J38" s="19"/>
    </row>
    <row r="39" spans="1:10" x14ac:dyDescent="0.25">
      <c r="A39" s="16">
        <v>16.303999999999998</v>
      </c>
      <c r="B39" t="s">
        <v>72</v>
      </c>
      <c r="D39" t="s">
        <v>340</v>
      </c>
      <c r="E39" s="21" t="s">
        <v>268</v>
      </c>
      <c r="F39" s="21" t="s">
        <v>268</v>
      </c>
      <c r="G39" s="18" t="e">
        <f>(BudgetApprop_Data[[#This Row],[President]]-BudgetApprop_Data[[#This Row],[FY 2019]])/BudgetApprop_Data[[#This Row],[FY 2019]]</f>
        <v>#VALUE!</v>
      </c>
      <c r="H39" s="21" t="s">
        <v>268</v>
      </c>
      <c r="I39" s="18" t="e">
        <f>(BudgetApprop_Data[[#This Row],[Latest House]]-BudgetApprop_Data[[#This Row],[FY 2019]])/BudgetApprop_Data[[#This Row],[FY 2019]]</f>
        <v>#VALUE!</v>
      </c>
      <c r="J39" s="19"/>
    </row>
    <row r="40" spans="1:10" x14ac:dyDescent="0.25">
      <c r="A40" s="23">
        <v>16.32</v>
      </c>
      <c r="B40" t="s">
        <v>72</v>
      </c>
      <c r="D40" t="s">
        <v>341</v>
      </c>
      <c r="E40" s="21" t="s">
        <v>268</v>
      </c>
      <c r="F40" s="21" t="s">
        <v>268</v>
      </c>
      <c r="G40" s="18" t="e">
        <f>(BudgetApprop_Data[[#This Row],[President]]-BudgetApprop_Data[[#This Row],[FY 2019]])/BudgetApprop_Data[[#This Row],[FY 2019]]</f>
        <v>#VALUE!</v>
      </c>
      <c r="H40" s="21" t="s">
        <v>268</v>
      </c>
      <c r="I40" s="18" t="e">
        <f>(BudgetApprop_Data[[#This Row],[Latest House]]-BudgetApprop_Data[[#This Row],[FY 2019]])/BudgetApprop_Data[[#This Row],[FY 2019]]</f>
        <v>#VALUE!</v>
      </c>
      <c r="J40" s="19"/>
    </row>
    <row r="41" spans="1:10" x14ac:dyDescent="0.25">
      <c r="A41" s="16">
        <v>16.523</v>
      </c>
      <c r="B41" t="s">
        <v>72</v>
      </c>
      <c r="D41" t="e">
        <v>#N/A</v>
      </c>
      <c r="E41" s="21" t="s">
        <v>268</v>
      </c>
      <c r="F41" s="21" t="s">
        <v>268</v>
      </c>
      <c r="G41" s="18" t="e">
        <f>(BudgetApprop_Data[[#This Row],[President]]-BudgetApprop_Data[[#This Row],[FY 2019]])/BudgetApprop_Data[[#This Row],[FY 2019]]</f>
        <v>#VALUE!</v>
      </c>
      <c r="H41" s="21" t="s">
        <v>268</v>
      </c>
      <c r="I41" s="18" t="e">
        <f>(BudgetApprop_Data[[#This Row],[Latest House]]-BudgetApprop_Data[[#This Row],[FY 2019]])/BudgetApprop_Data[[#This Row],[FY 2019]]</f>
        <v>#VALUE!</v>
      </c>
      <c r="J41" s="19"/>
    </row>
    <row r="42" spans="1:10" x14ac:dyDescent="0.25">
      <c r="A42" s="23">
        <v>16.527999999999999</v>
      </c>
      <c r="B42" t="s">
        <v>72</v>
      </c>
      <c r="D42" t="s">
        <v>342</v>
      </c>
      <c r="E42" s="21" t="s">
        <v>268</v>
      </c>
      <c r="F42" s="21" t="s">
        <v>268</v>
      </c>
      <c r="G42" s="18" t="e">
        <f>(BudgetApprop_Data[[#This Row],[President]]-BudgetApprop_Data[[#This Row],[FY 2019]])/BudgetApprop_Data[[#This Row],[FY 2019]]</f>
        <v>#VALUE!</v>
      </c>
      <c r="H42" s="21" t="s">
        <v>268</v>
      </c>
      <c r="I42" s="18" t="e">
        <f>(BudgetApprop_Data[[#This Row],[Latest House]]-BudgetApprop_Data[[#This Row],[FY 2019]])/BudgetApprop_Data[[#This Row],[FY 2019]]</f>
        <v>#VALUE!</v>
      </c>
      <c r="J42" s="19"/>
    </row>
    <row r="43" spans="1:10" x14ac:dyDescent="0.25">
      <c r="A43" s="16">
        <v>16.529</v>
      </c>
      <c r="B43" t="s">
        <v>72</v>
      </c>
      <c r="D43" t="s">
        <v>343</v>
      </c>
      <c r="E43" s="21" t="s">
        <v>268</v>
      </c>
      <c r="F43" s="21" t="s">
        <v>268</v>
      </c>
      <c r="G43" s="18" t="e">
        <f>(BudgetApprop_Data[[#This Row],[President]]-BudgetApprop_Data[[#This Row],[FY 2019]])/BudgetApprop_Data[[#This Row],[FY 2019]]</f>
        <v>#VALUE!</v>
      </c>
      <c r="H43" s="21" t="s">
        <v>268</v>
      </c>
      <c r="I43" s="18" t="e">
        <f>(BudgetApprop_Data[[#This Row],[Latest House]]-BudgetApprop_Data[[#This Row],[FY 2019]])/BudgetApprop_Data[[#This Row],[FY 2019]]</f>
        <v>#VALUE!</v>
      </c>
      <c r="J43" s="19"/>
    </row>
    <row r="44" spans="1:10" x14ac:dyDescent="0.25">
      <c r="A44" s="23">
        <v>16.542999999999999</v>
      </c>
      <c r="B44" t="s">
        <v>72</v>
      </c>
      <c r="D44" t="s">
        <v>344</v>
      </c>
      <c r="E44" s="21" t="s">
        <v>268</v>
      </c>
      <c r="F44" s="21" t="s">
        <v>268</v>
      </c>
      <c r="G44" s="18" t="e">
        <f>(BudgetApprop_Data[[#This Row],[President]]-BudgetApprop_Data[[#This Row],[FY 2019]])/BudgetApprop_Data[[#This Row],[FY 2019]]</f>
        <v>#VALUE!</v>
      </c>
      <c r="H44" s="21" t="s">
        <v>268</v>
      </c>
      <c r="I44" s="18" t="e">
        <f>(BudgetApprop_Data[[#This Row],[Latest House]]-BudgetApprop_Data[[#This Row],[FY 2019]])/BudgetApprop_Data[[#This Row],[FY 2019]]</f>
        <v>#VALUE!</v>
      </c>
      <c r="J44" s="19"/>
    </row>
    <row r="45" spans="1:10" x14ac:dyDescent="0.25">
      <c r="A45" s="40">
        <v>16.574999999999999</v>
      </c>
      <c r="B45" t="s">
        <v>72</v>
      </c>
      <c r="D45" t="s">
        <v>201</v>
      </c>
      <c r="E45" s="21" t="s">
        <v>268</v>
      </c>
      <c r="F45" s="21" t="s">
        <v>268</v>
      </c>
      <c r="G45" s="22" t="e">
        <f>(BudgetApprop_Data[[#This Row],[President]]-BudgetApprop_Data[[#This Row],[FY 2019]])/BudgetApprop_Data[[#This Row],[FY 2019]]</f>
        <v>#VALUE!</v>
      </c>
      <c r="H45" s="21" t="s">
        <v>268</v>
      </c>
      <c r="I45" s="22" t="e">
        <f>(BudgetApprop_Data[[#This Row],[Latest House]]-BudgetApprop_Data[[#This Row],[FY 2019]])/BudgetApprop_Data[[#This Row],[FY 2019]]</f>
        <v>#VALUE!</v>
      </c>
      <c r="J45" s="15"/>
    </row>
    <row r="46" spans="1:10" x14ac:dyDescent="0.25">
      <c r="A46" s="23">
        <v>16.582000000000001</v>
      </c>
      <c r="B46" t="s">
        <v>72</v>
      </c>
      <c r="D46" t="s">
        <v>345</v>
      </c>
      <c r="E46" s="21" t="s">
        <v>268</v>
      </c>
      <c r="F46" s="21" t="s">
        <v>268</v>
      </c>
      <c r="G46" s="18" t="e">
        <f>(BudgetApprop_Data[[#This Row],[President]]-BudgetApprop_Data[[#This Row],[FY 2019]])/BudgetApprop_Data[[#This Row],[FY 2019]]</f>
        <v>#VALUE!</v>
      </c>
      <c r="H46" s="21" t="s">
        <v>268</v>
      </c>
      <c r="I46" s="18" t="e">
        <f>(BudgetApprop_Data[[#This Row],[Latest House]]-BudgetApprop_Data[[#This Row],[FY 2019]])/BudgetApprop_Data[[#This Row],[FY 2019]]</f>
        <v>#VALUE!</v>
      </c>
      <c r="J46" s="19"/>
    </row>
    <row r="47" spans="1:10" x14ac:dyDescent="0.25">
      <c r="A47" s="16">
        <v>16.588000000000001</v>
      </c>
      <c r="B47" t="s">
        <v>72</v>
      </c>
      <c r="C47" t="s">
        <v>267</v>
      </c>
      <c r="D47" t="s">
        <v>273</v>
      </c>
      <c r="E47" s="17">
        <v>215000</v>
      </c>
      <c r="F47" s="17">
        <v>215000</v>
      </c>
      <c r="G47" s="18">
        <f>(BudgetApprop_Data[[#This Row],[President]]-BudgetApprop_Data[[#This Row],[FY 2019]])/BudgetApprop_Data[[#This Row],[FY 2019]]</f>
        <v>0</v>
      </c>
      <c r="H47" s="17">
        <v>222000</v>
      </c>
      <c r="I47" s="18">
        <f>(BudgetApprop_Data[[#This Row],[Latest House]]-BudgetApprop_Data[[#This Row],[FY 2019]])/BudgetApprop_Data[[#This Row],[FY 2019]]</f>
        <v>3.255813953488372E-2</v>
      </c>
      <c r="J47" s="19"/>
    </row>
    <row r="48" spans="1:10" x14ac:dyDescent="0.25">
      <c r="A48" s="23">
        <v>16.59</v>
      </c>
      <c r="B48" t="s">
        <v>72</v>
      </c>
      <c r="D48" t="s">
        <v>346</v>
      </c>
      <c r="E48" s="21" t="s">
        <v>268</v>
      </c>
      <c r="F48" s="21" t="s">
        <v>268</v>
      </c>
      <c r="G48" s="18" t="e">
        <f>(BudgetApprop_Data[[#This Row],[President]]-BudgetApprop_Data[[#This Row],[FY 2019]])/BudgetApprop_Data[[#This Row],[FY 2019]]</f>
        <v>#VALUE!</v>
      </c>
      <c r="H48" s="21" t="s">
        <v>268</v>
      </c>
      <c r="I48" s="18" t="e">
        <f>(BudgetApprop_Data[[#This Row],[Latest House]]-BudgetApprop_Data[[#This Row],[FY 2019]])/BudgetApprop_Data[[#This Row],[FY 2019]]</f>
        <v>#VALUE!</v>
      </c>
      <c r="J48" s="19"/>
    </row>
    <row r="49" spans="1:10" x14ac:dyDescent="0.25">
      <c r="A49" s="16">
        <v>16.606000000000002</v>
      </c>
      <c r="B49" t="s">
        <v>72</v>
      </c>
      <c r="C49" t="s">
        <v>267</v>
      </c>
      <c r="D49" t="s">
        <v>274</v>
      </c>
      <c r="E49" s="17">
        <v>244000</v>
      </c>
      <c r="F49" s="17">
        <v>0</v>
      </c>
      <c r="G49" s="18">
        <f>(BudgetApprop_Data[[#This Row],[President]]-BudgetApprop_Data[[#This Row],[FY 2019]])/BudgetApprop_Data[[#This Row],[FY 2019]]</f>
        <v>-1</v>
      </c>
      <c r="H49" s="17">
        <v>260000</v>
      </c>
      <c r="I49" s="18">
        <f>(BudgetApprop_Data[[#This Row],[Latest House]]-BudgetApprop_Data[[#This Row],[FY 2019]])/BudgetApprop_Data[[#This Row],[FY 2019]]</f>
        <v>6.5573770491803282E-2</v>
      </c>
      <c r="J49" s="19"/>
    </row>
    <row r="50" spans="1:10" x14ac:dyDescent="0.25">
      <c r="A50" s="23">
        <v>16.734999999999999</v>
      </c>
      <c r="B50" t="s">
        <v>72</v>
      </c>
      <c r="D50" t="s">
        <v>347</v>
      </c>
      <c r="E50" s="21" t="s">
        <v>268</v>
      </c>
      <c r="F50" s="21" t="s">
        <v>268</v>
      </c>
      <c r="G50" s="18" t="e">
        <f>(BudgetApprop_Data[[#This Row],[President]]-BudgetApprop_Data[[#This Row],[FY 2019]])/BudgetApprop_Data[[#This Row],[FY 2019]]</f>
        <v>#VALUE!</v>
      </c>
      <c r="H50" s="21" t="s">
        <v>268</v>
      </c>
      <c r="I50" s="18" t="e">
        <f>(BudgetApprop_Data[[#This Row],[Latest House]]-BudgetApprop_Data[[#This Row],[FY 2019]])/BudgetApprop_Data[[#This Row],[FY 2019]]</f>
        <v>#VALUE!</v>
      </c>
      <c r="J50" s="19"/>
    </row>
    <row r="51" spans="1:10" x14ac:dyDescent="0.25">
      <c r="A51" s="16">
        <v>16.738</v>
      </c>
      <c r="B51" t="s">
        <v>72</v>
      </c>
      <c r="C51" t="s">
        <v>267</v>
      </c>
      <c r="D51" t="s">
        <v>276</v>
      </c>
      <c r="E51" s="17">
        <v>330000</v>
      </c>
      <c r="F51" s="17">
        <v>308000</v>
      </c>
      <c r="G51" s="18">
        <f>(BudgetApprop_Data[[#This Row],[President]]-BudgetApprop_Data[[#This Row],[FY 2019]])/BudgetApprop_Data[[#This Row],[FY 2019]]</f>
        <v>-6.6666666666666666E-2</v>
      </c>
      <c r="H51" s="17">
        <v>346000</v>
      </c>
      <c r="I51" s="18">
        <f>(BudgetApprop_Data[[#This Row],[Latest House]]-BudgetApprop_Data[[#This Row],[FY 2019]])/BudgetApprop_Data[[#This Row],[FY 2019]]</f>
        <v>4.8484848484848485E-2</v>
      </c>
      <c r="J51" s="19"/>
    </row>
    <row r="52" spans="1:10" x14ac:dyDescent="0.25">
      <c r="A52" s="23">
        <v>16.741</v>
      </c>
      <c r="B52" t="s">
        <v>72</v>
      </c>
      <c r="D52" t="s">
        <v>348</v>
      </c>
      <c r="E52" s="21" t="s">
        <v>268</v>
      </c>
      <c r="F52" s="21" t="s">
        <v>268</v>
      </c>
      <c r="G52" s="18" t="e">
        <f>(BudgetApprop_Data[[#This Row],[President]]-BudgetApprop_Data[[#This Row],[FY 2019]])/BudgetApprop_Data[[#This Row],[FY 2019]]</f>
        <v>#VALUE!</v>
      </c>
      <c r="H52" s="21" t="s">
        <v>268</v>
      </c>
      <c r="I52" s="18" t="e">
        <f>(BudgetApprop_Data[[#This Row],[Latest House]]-BudgetApprop_Data[[#This Row],[FY 2019]])/BudgetApprop_Data[[#This Row],[FY 2019]]</f>
        <v>#VALUE!</v>
      </c>
      <c r="J52" s="19"/>
    </row>
    <row r="53" spans="1:10" x14ac:dyDescent="0.25">
      <c r="A53" s="16">
        <v>16.745000000000001</v>
      </c>
      <c r="B53" t="s">
        <v>72</v>
      </c>
      <c r="D53" t="s">
        <v>349</v>
      </c>
      <c r="E53" s="21" t="s">
        <v>268</v>
      </c>
      <c r="F53" s="21" t="s">
        <v>268</v>
      </c>
      <c r="G53" s="18" t="e">
        <f>(BudgetApprop_Data[[#This Row],[President]]-BudgetApprop_Data[[#This Row],[FY 2019]])/BudgetApprop_Data[[#This Row],[FY 2019]]</f>
        <v>#VALUE!</v>
      </c>
      <c r="H53" s="21" t="s">
        <v>268</v>
      </c>
      <c r="I53" s="18" t="e">
        <f>(BudgetApprop_Data[[#This Row],[Latest House]]-BudgetApprop_Data[[#This Row],[FY 2019]])/BudgetApprop_Data[[#This Row],[FY 2019]]</f>
        <v>#VALUE!</v>
      </c>
      <c r="J53" s="19"/>
    </row>
    <row r="54" spans="1:10" x14ac:dyDescent="0.25">
      <c r="A54" s="23">
        <v>16.751000000000001</v>
      </c>
      <c r="B54" t="s">
        <v>72</v>
      </c>
      <c r="D54" t="s">
        <v>350</v>
      </c>
      <c r="E54" s="21" t="s">
        <v>268</v>
      </c>
      <c r="F54" s="21" t="s">
        <v>268</v>
      </c>
      <c r="G54" s="18" t="e">
        <f>(BudgetApprop_Data[[#This Row],[President]]-BudgetApprop_Data[[#This Row],[FY 2019]])/BudgetApprop_Data[[#This Row],[FY 2019]]</f>
        <v>#VALUE!</v>
      </c>
      <c r="H54" s="21" t="s">
        <v>268</v>
      </c>
      <c r="I54" s="18" t="e">
        <f>(BudgetApprop_Data[[#This Row],[Latest House]]-BudgetApprop_Data[[#This Row],[FY 2019]])/BudgetApprop_Data[[#This Row],[FY 2019]]</f>
        <v>#VALUE!</v>
      </c>
      <c r="J54" s="19"/>
    </row>
    <row r="55" spans="1:10" x14ac:dyDescent="0.25">
      <c r="A55" s="16">
        <v>16.754000000000001</v>
      </c>
      <c r="B55" t="s">
        <v>72</v>
      </c>
      <c r="D55" t="s">
        <v>351</v>
      </c>
      <c r="E55" s="21" t="s">
        <v>268</v>
      </c>
      <c r="F55" s="21" t="s">
        <v>268</v>
      </c>
      <c r="G55" s="18" t="e">
        <f>(BudgetApprop_Data[[#This Row],[President]]-BudgetApprop_Data[[#This Row],[FY 2019]])/BudgetApprop_Data[[#This Row],[FY 2019]]</f>
        <v>#VALUE!</v>
      </c>
      <c r="H55" s="21" t="s">
        <v>268</v>
      </c>
      <c r="I55" s="18" t="e">
        <f>(BudgetApprop_Data[[#This Row],[Latest House]]-BudgetApprop_Data[[#This Row],[FY 2019]])/BudgetApprop_Data[[#This Row],[FY 2019]]</f>
        <v>#VALUE!</v>
      </c>
      <c r="J55" s="19"/>
    </row>
    <row r="56" spans="1:10" x14ac:dyDescent="0.25">
      <c r="A56" s="23">
        <v>16.812000000000001</v>
      </c>
      <c r="B56" t="s">
        <v>72</v>
      </c>
      <c r="D56" t="s">
        <v>352</v>
      </c>
      <c r="E56" s="21" t="s">
        <v>268</v>
      </c>
      <c r="F56" s="21" t="s">
        <v>268</v>
      </c>
      <c r="G56" s="18" t="e">
        <f>(BudgetApprop_Data[[#This Row],[President]]-BudgetApprop_Data[[#This Row],[FY 2019]])/BudgetApprop_Data[[#This Row],[FY 2019]]</f>
        <v>#VALUE!</v>
      </c>
      <c r="H56" s="21" t="s">
        <v>268</v>
      </c>
      <c r="I56" s="18" t="e">
        <f>(BudgetApprop_Data[[#This Row],[Latest House]]-BudgetApprop_Data[[#This Row],[FY 2019]])/BudgetApprop_Data[[#This Row],[FY 2019]]</f>
        <v>#VALUE!</v>
      </c>
      <c r="J56" s="19"/>
    </row>
    <row r="57" spans="1:10" x14ac:dyDescent="0.25">
      <c r="A57" s="16">
        <v>16.817</v>
      </c>
      <c r="B57" t="s">
        <v>72</v>
      </c>
      <c r="D57" t="s">
        <v>353</v>
      </c>
      <c r="E57" s="21" t="s">
        <v>268</v>
      </c>
      <c r="F57" s="21" t="s">
        <v>268</v>
      </c>
      <c r="G57" s="18" t="e">
        <f>(BudgetApprop_Data[[#This Row],[President]]-BudgetApprop_Data[[#This Row],[FY 2019]])/BudgetApprop_Data[[#This Row],[FY 2019]]</f>
        <v>#VALUE!</v>
      </c>
      <c r="H57" s="21" t="s">
        <v>268</v>
      </c>
      <c r="I57" s="18" t="e">
        <f>(BudgetApprop_Data[[#This Row],[Latest House]]-BudgetApprop_Data[[#This Row],[FY 2019]])/BudgetApprop_Data[[#This Row],[FY 2019]]</f>
        <v>#VALUE!</v>
      </c>
      <c r="J57" s="19"/>
    </row>
    <row r="58" spans="1:10" x14ac:dyDescent="0.25">
      <c r="A58" s="23">
        <v>16.823</v>
      </c>
      <c r="B58" t="s">
        <v>75</v>
      </c>
      <c r="D58" t="s">
        <v>202</v>
      </c>
      <c r="E58" s="21" t="s">
        <v>268</v>
      </c>
      <c r="F58" s="21" t="s">
        <v>268</v>
      </c>
      <c r="G58" s="18" t="e">
        <f>(BudgetApprop_Data[[#This Row],[President]]-BudgetApprop_Data[[#This Row],[FY 2019]])/BudgetApprop_Data[[#This Row],[FY 2019]]</f>
        <v>#VALUE!</v>
      </c>
      <c r="H58" s="21" t="s">
        <v>268</v>
      </c>
      <c r="I58" s="18" t="e">
        <f>(BudgetApprop_Data[[#This Row],[Latest House]]-BudgetApprop_Data[[#This Row],[FY 2019]])/BudgetApprop_Data[[#This Row],[FY 2019]]</f>
        <v>#VALUE!</v>
      </c>
      <c r="J58" s="19"/>
    </row>
    <row r="59" spans="1:10" x14ac:dyDescent="0.25">
      <c r="A59" s="16">
        <v>16.824999999999999</v>
      </c>
      <c r="B59" t="s">
        <v>72</v>
      </c>
      <c r="D59" t="s">
        <v>354</v>
      </c>
      <c r="E59" s="21" t="s">
        <v>268</v>
      </c>
      <c r="F59" s="21" t="s">
        <v>268</v>
      </c>
      <c r="G59" s="18" t="e">
        <f>(BudgetApprop_Data[[#This Row],[President]]-BudgetApprop_Data[[#This Row],[FY 2019]])/BudgetApprop_Data[[#This Row],[FY 2019]]</f>
        <v>#VALUE!</v>
      </c>
      <c r="H59" s="21" t="s">
        <v>268</v>
      </c>
      <c r="I59" s="18" t="e">
        <f>(BudgetApprop_Data[[#This Row],[Latest House]]-BudgetApprop_Data[[#This Row],[FY 2019]])/BudgetApprop_Data[[#This Row],[FY 2019]]</f>
        <v>#VALUE!</v>
      </c>
      <c r="J59" s="19"/>
    </row>
    <row r="60" spans="1:10" x14ac:dyDescent="0.25">
      <c r="A60" s="23">
        <v>16.827000000000002</v>
      </c>
      <c r="B60" t="s">
        <v>72</v>
      </c>
      <c r="D60" t="s">
        <v>355</v>
      </c>
      <c r="E60" s="21" t="s">
        <v>268</v>
      </c>
      <c r="F60" s="21" t="s">
        <v>268</v>
      </c>
      <c r="G60" s="18" t="e">
        <f>(BudgetApprop_Data[[#This Row],[President]]-BudgetApprop_Data[[#This Row],[FY 2019]])/BudgetApprop_Data[[#This Row],[FY 2019]]</f>
        <v>#VALUE!</v>
      </c>
      <c r="H60" s="21" t="s">
        <v>268</v>
      </c>
      <c r="I60" s="18" t="e">
        <f>(BudgetApprop_Data[[#This Row],[Latest House]]-BudgetApprop_Data[[#This Row],[FY 2019]])/BudgetApprop_Data[[#This Row],[FY 2019]]</f>
        <v>#VALUE!</v>
      </c>
      <c r="J60" s="19"/>
    </row>
    <row r="61" spans="1:10" x14ac:dyDescent="0.25">
      <c r="A61" s="16">
        <v>16.922000000000001</v>
      </c>
      <c r="B61" t="s">
        <v>72</v>
      </c>
      <c r="D61" t="s">
        <v>356</v>
      </c>
      <c r="E61" s="21" t="s">
        <v>268</v>
      </c>
      <c r="F61" s="21" t="s">
        <v>268</v>
      </c>
      <c r="G61" s="18" t="e">
        <f>(BudgetApprop_Data[[#This Row],[President]]-BudgetApprop_Data[[#This Row],[FY 2019]])/BudgetApprop_Data[[#This Row],[FY 2019]]</f>
        <v>#VALUE!</v>
      </c>
      <c r="H61" s="21" t="s">
        <v>268</v>
      </c>
      <c r="I61" s="18" t="e">
        <f>(BudgetApprop_Data[[#This Row],[Latest House]]-BudgetApprop_Data[[#This Row],[FY 2019]])/BudgetApprop_Data[[#This Row],[FY 2019]]</f>
        <v>#VALUE!</v>
      </c>
      <c r="J61" s="19"/>
    </row>
    <row r="62" spans="1:10" x14ac:dyDescent="0.25">
      <c r="A62" s="23">
        <v>17.202000000000002</v>
      </c>
      <c r="B62" t="s">
        <v>72</v>
      </c>
      <c r="D62" t="e">
        <v>#N/A</v>
      </c>
      <c r="E62" s="21" t="s">
        <v>268</v>
      </c>
      <c r="F62" s="21" t="s">
        <v>268</v>
      </c>
      <c r="G62" s="18" t="e">
        <f>(BudgetApprop_Data[[#This Row],[President]]-BudgetApprop_Data[[#This Row],[FY 2019]])/BudgetApprop_Data[[#This Row],[FY 2019]]</f>
        <v>#VALUE!</v>
      </c>
      <c r="H62" s="21" t="s">
        <v>268</v>
      </c>
      <c r="I62" s="18" t="e">
        <f>(BudgetApprop_Data[[#This Row],[Latest House]]-BudgetApprop_Data[[#This Row],[FY 2019]])/BudgetApprop_Data[[#This Row],[FY 2019]]</f>
        <v>#VALUE!</v>
      </c>
      <c r="J62" s="19"/>
    </row>
    <row r="63" spans="1:10" x14ac:dyDescent="0.25">
      <c r="A63" s="77">
        <v>17.234999999999999</v>
      </c>
      <c r="B63" t="s">
        <v>75</v>
      </c>
      <c r="D63" t="s">
        <v>315</v>
      </c>
      <c r="E63" s="21" t="s">
        <v>268</v>
      </c>
      <c r="F63" s="21" t="s">
        <v>268</v>
      </c>
      <c r="G63" s="22">
        <v>-1</v>
      </c>
      <c r="H63" s="21" t="s">
        <v>268</v>
      </c>
      <c r="I63" s="22" t="e">
        <f>(BudgetApprop_Data[[#This Row],[Latest House]]-BudgetApprop_Data[[#This Row],[FY 2019]])/BudgetApprop_Data[[#This Row],[FY 2019]]</f>
        <v>#VALUE!</v>
      </c>
      <c r="J63" s="15"/>
    </row>
    <row r="64" spans="1:10" x14ac:dyDescent="0.25">
      <c r="A64" s="23">
        <v>17.245000000000001</v>
      </c>
      <c r="B64" t="s">
        <v>72</v>
      </c>
      <c r="D64" t="s">
        <v>357</v>
      </c>
      <c r="E64" s="21" t="s">
        <v>268</v>
      </c>
      <c r="F64" s="21" t="s">
        <v>268</v>
      </c>
      <c r="G64" s="18" t="e">
        <f>(BudgetApprop_Data[[#This Row],[President]]-BudgetApprop_Data[[#This Row],[FY 2019]])/BudgetApprop_Data[[#This Row],[FY 2019]]</f>
        <v>#VALUE!</v>
      </c>
      <c r="H64" s="21" t="s">
        <v>268</v>
      </c>
      <c r="I64" s="18" t="e">
        <f>(BudgetApprop_Data[[#This Row],[Latest House]]-BudgetApprop_Data[[#This Row],[FY 2019]])/BudgetApprop_Data[[#This Row],[FY 2019]]</f>
        <v>#VALUE!</v>
      </c>
      <c r="J64" s="19"/>
    </row>
    <row r="65" spans="1:10" x14ac:dyDescent="0.25">
      <c r="A65" s="16">
        <v>17.257999999999999</v>
      </c>
      <c r="B65" t="s">
        <v>72</v>
      </c>
      <c r="C65" t="s">
        <v>267</v>
      </c>
      <c r="D65" t="s">
        <v>282</v>
      </c>
      <c r="E65" s="17">
        <v>846000</v>
      </c>
      <c r="F65" s="17">
        <v>846000</v>
      </c>
      <c r="G65" s="18">
        <f>(BudgetApprop_Data[[#This Row],[President]]-BudgetApprop_Data[[#This Row],[FY 2019]])/BudgetApprop_Data[[#This Row],[FY 2019]]</f>
        <v>0</v>
      </c>
      <c r="H65" s="17">
        <v>900000</v>
      </c>
      <c r="I65" s="18">
        <f>(BudgetApprop_Data[[#This Row],[Latest House]]-BudgetApprop_Data[[#This Row],[FY 2019]])/BudgetApprop_Data[[#This Row],[FY 2019]]</f>
        <v>6.3829787234042548E-2</v>
      </c>
      <c r="J65" s="19"/>
    </row>
    <row r="66" spans="1:10" x14ac:dyDescent="0.25">
      <c r="A66" s="20">
        <v>17.259</v>
      </c>
      <c r="B66" t="s">
        <v>75</v>
      </c>
      <c r="C66" t="s">
        <v>267</v>
      </c>
      <c r="D66" t="s">
        <v>107</v>
      </c>
      <c r="E66" s="21">
        <v>903000</v>
      </c>
      <c r="F66" s="21">
        <v>903000</v>
      </c>
      <c r="G66" s="22">
        <f>(BudgetApprop_Data[[#This Row],[President]]-BudgetApprop_Data[[#This Row],[FY 2019]])/BudgetApprop_Data[[#This Row],[FY 2019]]</f>
        <v>0</v>
      </c>
      <c r="H66" s="21">
        <v>964000</v>
      </c>
      <c r="I66" s="22">
        <f>(BudgetApprop_Data[[#This Row],[Latest House]]-BudgetApprop_Data[[#This Row],[FY 2019]])/BudgetApprop_Data[[#This Row],[FY 2019]]</f>
        <v>6.755260243632337E-2</v>
      </c>
      <c r="J66" s="15"/>
    </row>
    <row r="67" spans="1:10" x14ac:dyDescent="0.25">
      <c r="A67" s="16">
        <v>17.277000000000001</v>
      </c>
      <c r="B67" t="s">
        <v>72</v>
      </c>
      <c r="D67" t="s">
        <v>358</v>
      </c>
      <c r="E67" s="21" t="s">
        <v>268</v>
      </c>
      <c r="F67" s="21" t="s">
        <v>268</v>
      </c>
      <c r="G67" s="18" t="e">
        <f>(BudgetApprop_Data[[#This Row],[President]]-BudgetApprop_Data[[#This Row],[FY 2019]])/BudgetApprop_Data[[#This Row],[FY 2019]]</f>
        <v>#VALUE!</v>
      </c>
      <c r="H67" s="21" t="s">
        <v>268</v>
      </c>
      <c r="I67" s="18" t="e">
        <f>(BudgetApprop_Data[[#This Row],[Latest House]]-BudgetApprop_Data[[#This Row],[FY 2019]])/BudgetApprop_Data[[#This Row],[FY 2019]]</f>
        <v>#VALUE!</v>
      </c>
      <c r="J67" s="19"/>
    </row>
    <row r="68" spans="1:10" x14ac:dyDescent="0.25">
      <c r="A68" s="23">
        <v>17.277999999999999</v>
      </c>
      <c r="B68" t="s">
        <v>72</v>
      </c>
      <c r="C68" t="s">
        <v>267</v>
      </c>
      <c r="D68" t="s">
        <v>283</v>
      </c>
      <c r="E68" s="17">
        <v>1041000</v>
      </c>
      <c r="F68" s="17">
        <v>1041000</v>
      </c>
      <c r="G68" s="18">
        <f>(BudgetApprop_Data[[#This Row],[President]]-BudgetApprop_Data[[#This Row],[FY 2019]])/BudgetApprop_Data[[#This Row],[FY 2019]]</f>
        <v>0</v>
      </c>
      <c r="H68" s="17">
        <v>1103000</v>
      </c>
      <c r="I68" s="18">
        <f>(BudgetApprop_Data[[#This Row],[Latest House]]-BudgetApprop_Data[[#This Row],[FY 2019]])/BudgetApprop_Data[[#This Row],[FY 2019]]</f>
        <v>5.9558117195004805E-2</v>
      </c>
      <c r="J68" s="19"/>
    </row>
    <row r="69" spans="1:10" x14ac:dyDescent="0.25">
      <c r="A69" s="16">
        <v>19.012</v>
      </c>
      <c r="B69" t="s">
        <v>72</v>
      </c>
      <c r="D69" t="s">
        <v>359</v>
      </c>
      <c r="E69" s="21" t="s">
        <v>268</v>
      </c>
      <c r="F69" s="21" t="s">
        <v>268</v>
      </c>
      <c r="G69" s="18" t="e">
        <f>(BudgetApprop_Data[[#This Row],[President]]-BudgetApprop_Data[[#This Row],[FY 2019]])/BudgetApprop_Data[[#This Row],[FY 2019]]</f>
        <v>#VALUE!</v>
      </c>
      <c r="H69" s="21" t="s">
        <v>268</v>
      </c>
      <c r="I69" s="18" t="e">
        <f>(BudgetApprop_Data[[#This Row],[Latest House]]-BudgetApprop_Data[[#This Row],[FY 2019]])/BudgetApprop_Data[[#This Row],[FY 2019]]</f>
        <v>#VALUE!</v>
      </c>
      <c r="J69" s="19"/>
    </row>
    <row r="70" spans="1:10" x14ac:dyDescent="0.25">
      <c r="A70" s="23">
        <v>19.015000000000001</v>
      </c>
      <c r="B70" t="s">
        <v>72</v>
      </c>
      <c r="D70" t="s">
        <v>360</v>
      </c>
      <c r="E70" s="21" t="s">
        <v>268</v>
      </c>
      <c r="F70" s="21" t="s">
        <v>268</v>
      </c>
      <c r="G70" s="18" t="e">
        <f>(BudgetApprop_Data[[#This Row],[President]]-BudgetApprop_Data[[#This Row],[FY 2019]])/BudgetApprop_Data[[#This Row],[FY 2019]]</f>
        <v>#VALUE!</v>
      </c>
      <c r="H70" s="21" t="s">
        <v>268</v>
      </c>
      <c r="I70" s="18" t="e">
        <f>(BudgetApprop_Data[[#This Row],[Latest House]]-BudgetApprop_Data[[#This Row],[FY 2019]])/BudgetApprop_Data[[#This Row],[FY 2019]]</f>
        <v>#VALUE!</v>
      </c>
      <c r="J70" s="19"/>
    </row>
    <row r="71" spans="1:10" x14ac:dyDescent="0.25">
      <c r="A71" s="16">
        <v>20.204999999999998</v>
      </c>
      <c r="B71" t="s">
        <v>72</v>
      </c>
      <c r="C71" t="s">
        <v>267</v>
      </c>
      <c r="D71" t="s">
        <v>296</v>
      </c>
      <c r="E71" s="17">
        <v>45269000</v>
      </c>
      <c r="F71" s="17">
        <v>46365000</v>
      </c>
      <c r="G71" s="18">
        <f>(BudgetApprop_Data[[#This Row],[President]]-BudgetApprop_Data[[#This Row],[FY 2019]])/BudgetApprop_Data[[#This Row],[FY 2019]]</f>
        <v>2.4210828602354812E-2</v>
      </c>
      <c r="H71" s="17">
        <v>46365000</v>
      </c>
      <c r="I71" s="18">
        <f>(BudgetApprop_Data[[#This Row],[Latest House]]-BudgetApprop_Data[[#This Row],[FY 2019]])/BudgetApprop_Data[[#This Row],[FY 2019]]</f>
        <v>2.4210828602354812E-2</v>
      </c>
      <c r="J71" s="19"/>
    </row>
    <row r="72" spans="1:10" x14ac:dyDescent="0.25">
      <c r="A72" s="23">
        <v>20.219000000000001</v>
      </c>
      <c r="B72" t="s">
        <v>72</v>
      </c>
      <c r="D72" t="s">
        <v>361</v>
      </c>
      <c r="E72" s="21" t="s">
        <v>268</v>
      </c>
      <c r="F72" s="21" t="s">
        <v>268</v>
      </c>
      <c r="G72" s="18" t="e">
        <f>(BudgetApprop_Data[[#This Row],[President]]-BudgetApprop_Data[[#This Row],[FY 2019]])/BudgetApprop_Data[[#This Row],[FY 2019]]</f>
        <v>#VALUE!</v>
      </c>
      <c r="H72" s="21" t="s">
        <v>268</v>
      </c>
      <c r="I72" s="18" t="e">
        <f>(BudgetApprop_Data[[#This Row],[Latest House]]-BudgetApprop_Data[[#This Row],[FY 2019]])/BudgetApprop_Data[[#This Row],[FY 2019]]</f>
        <v>#VALUE!</v>
      </c>
      <c r="J72" s="19"/>
    </row>
    <row r="73" spans="1:10" x14ac:dyDescent="0.25">
      <c r="A73" s="16">
        <v>20.504999999999999</v>
      </c>
      <c r="B73" t="s">
        <v>72</v>
      </c>
      <c r="D73" t="s">
        <v>362</v>
      </c>
      <c r="E73" s="21" t="s">
        <v>268</v>
      </c>
      <c r="F73" s="21" t="s">
        <v>268</v>
      </c>
      <c r="G73" s="18" t="e">
        <f>(BudgetApprop_Data[[#This Row],[President]]-BudgetApprop_Data[[#This Row],[FY 2019]])/BudgetApprop_Data[[#This Row],[FY 2019]]</f>
        <v>#VALUE!</v>
      </c>
      <c r="H73" s="21" t="s">
        <v>268</v>
      </c>
      <c r="I73" s="18" t="e">
        <f>(BudgetApprop_Data[[#This Row],[Latest House]]-BudgetApprop_Data[[#This Row],[FY 2019]])/BudgetApprop_Data[[#This Row],[FY 2019]]</f>
        <v>#VALUE!</v>
      </c>
      <c r="J73" s="19"/>
    </row>
    <row r="74" spans="1:10" x14ac:dyDescent="0.25">
      <c r="A74" s="23">
        <v>20.507000000000001</v>
      </c>
      <c r="B74" t="s">
        <v>72</v>
      </c>
      <c r="D74" t="s">
        <v>363</v>
      </c>
      <c r="E74" s="21" t="s">
        <v>268</v>
      </c>
      <c r="F74" s="21" t="s">
        <v>268</v>
      </c>
      <c r="G74" s="18" t="e">
        <f>(BudgetApprop_Data[[#This Row],[President]]-BudgetApprop_Data[[#This Row],[FY 2019]])/BudgetApprop_Data[[#This Row],[FY 2019]]</f>
        <v>#VALUE!</v>
      </c>
      <c r="H74" s="21" t="s">
        <v>268</v>
      </c>
      <c r="I74" s="18" t="e">
        <f>(BudgetApprop_Data[[#This Row],[Latest House]]-BudgetApprop_Data[[#This Row],[FY 2019]])/BudgetApprop_Data[[#This Row],[FY 2019]]</f>
        <v>#VALUE!</v>
      </c>
      <c r="J74" s="19"/>
    </row>
    <row r="75" spans="1:10" x14ac:dyDescent="0.25">
      <c r="A75" s="24">
        <v>20.513000000000002</v>
      </c>
      <c r="B75" t="s">
        <v>72</v>
      </c>
      <c r="D75" t="s">
        <v>364</v>
      </c>
      <c r="E75" s="21" t="s">
        <v>268</v>
      </c>
      <c r="F75" s="21" t="s">
        <v>268</v>
      </c>
      <c r="G75" s="18" t="e">
        <f>(BudgetApprop_Data[[#This Row],[President]]-BudgetApprop_Data[[#This Row],[FY 2019]])/BudgetApprop_Data[[#This Row],[FY 2019]]</f>
        <v>#VALUE!</v>
      </c>
      <c r="H75" s="21" t="s">
        <v>268</v>
      </c>
      <c r="I75" s="18" t="e">
        <f>(BudgetApprop_Data[[#This Row],[Latest House]]-BudgetApprop_Data[[#This Row],[FY 2019]])/BudgetApprop_Data[[#This Row],[FY 2019]]</f>
        <v>#VALUE!</v>
      </c>
      <c r="J75" s="19"/>
    </row>
    <row r="76" spans="1:10" x14ac:dyDescent="0.25">
      <c r="A76" s="25">
        <v>20.515999999999998</v>
      </c>
      <c r="B76" t="s">
        <v>72</v>
      </c>
      <c r="D76" t="s">
        <v>365</v>
      </c>
      <c r="E76" s="21" t="s">
        <v>268</v>
      </c>
      <c r="F76" s="21" t="s">
        <v>268</v>
      </c>
      <c r="G76" s="18" t="e">
        <f>(BudgetApprop_Data[[#This Row],[President]]-BudgetApprop_Data[[#This Row],[FY 2019]])/BudgetApprop_Data[[#This Row],[FY 2019]]</f>
        <v>#VALUE!</v>
      </c>
      <c r="H76" s="21" t="s">
        <v>268</v>
      </c>
      <c r="I76" s="18" t="e">
        <f>(BudgetApprop_Data[[#This Row],[Latest House]]-BudgetApprop_Data[[#This Row],[FY 2019]])/BudgetApprop_Data[[#This Row],[FY 2019]]</f>
        <v>#VALUE!</v>
      </c>
      <c r="J76" s="19"/>
    </row>
    <row r="77" spans="1:10" x14ac:dyDescent="0.25">
      <c r="A77" s="24">
        <v>20.521000000000001</v>
      </c>
      <c r="B77" t="s">
        <v>72</v>
      </c>
      <c r="D77" t="s">
        <v>366</v>
      </c>
      <c r="E77" s="21" t="s">
        <v>268</v>
      </c>
      <c r="F77" s="21" t="s">
        <v>268</v>
      </c>
      <c r="G77" s="18" t="e">
        <f>(BudgetApprop_Data[[#This Row],[President]]-BudgetApprop_Data[[#This Row],[FY 2019]])/BudgetApprop_Data[[#This Row],[FY 2019]]</f>
        <v>#VALUE!</v>
      </c>
      <c r="H77" s="21" t="s">
        <v>268</v>
      </c>
      <c r="I77" s="18" t="e">
        <f>(BudgetApprop_Data[[#This Row],[Latest House]]-BudgetApprop_Data[[#This Row],[FY 2019]])/BudgetApprop_Data[[#This Row],[FY 2019]]</f>
        <v>#VALUE!</v>
      </c>
      <c r="J77" s="19"/>
    </row>
    <row r="78" spans="1:10" x14ac:dyDescent="0.25">
      <c r="A78" s="25">
        <v>20.521999999999998</v>
      </c>
      <c r="B78" t="s">
        <v>72</v>
      </c>
      <c r="D78" t="s">
        <v>367</v>
      </c>
      <c r="E78" s="21" t="s">
        <v>268</v>
      </c>
      <c r="F78" s="21" t="s">
        <v>268</v>
      </c>
      <c r="G78" s="18" t="e">
        <f>(BudgetApprop_Data[[#This Row],[President]]-BudgetApprop_Data[[#This Row],[FY 2019]])/BudgetApprop_Data[[#This Row],[FY 2019]]</f>
        <v>#VALUE!</v>
      </c>
      <c r="H78" s="21" t="s">
        <v>268</v>
      </c>
      <c r="I78" s="18" t="e">
        <f>(BudgetApprop_Data[[#This Row],[Latest House]]-BudgetApprop_Data[[#This Row],[FY 2019]])/BudgetApprop_Data[[#This Row],[FY 2019]]</f>
        <v>#VALUE!</v>
      </c>
      <c r="J78" s="19"/>
    </row>
    <row r="79" spans="1:10" x14ac:dyDescent="0.25">
      <c r="A79" s="24">
        <v>20.527000000000001</v>
      </c>
      <c r="B79" t="s">
        <v>72</v>
      </c>
      <c r="D79" t="s">
        <v>368</v>
      </c>
      <c r="E79" s="21" t="s">
        <v>268</v>
      </c>
      <c r="F79" s="21" t="s">
        <v>268</v>
      </c>
      <c r="G79" s="18" t="e">
        <f>(BudgetApprop_Data[[#This Row],[President]]-BudgetApprop_Data[[#This Row],[FY 2019]])/BudgetApprop_Data[[#This Row],[FY 2019]]</f>
        <v>#VALUE!</v>
      </c>
      <c r="H79" s="21" t="s">
        <v>268</v>
      </c>
      <c r="I79" s="18" t="e">
        <f>(BudgetApprop_Data[[#This Row],[Latest House]]-BudgetApprop_Data[[#This Row],[FY 2019]])/BudgetApprop_Data[[#This Row],[FY 2019]]</f>
        <v>#VALUE!</v>
      </c>
      <c r="J79" s="19"/>
    </row>
    <row r="80" spans="1:10" x14ac:dyDescent="0.25">
      <c r="A80" s="25">
        <v>20.6</v>
      </c>
      <c r="B80" t="s">
        <v>72</v>
      </c>
      <c r="D80" t="s">
        <v>369</v>
      </c>
      <c r="E80" s="21" t="s">
        <v>268</v>
      </c>
      <c r="F80" s="21" t="s">
        <v>268</v>
      </c>
      <c r="G80" s="18" t="e">
        <f>(BudgetApprop_Data[[#This Row],[President]]-BudgetApprop_Data[[#This Row],[FY 2019]])/BudgetApprop_Data[[#This Row],[FY 2019]]</f>
        <v>#VALUE!</v>
      </c>
      <c r="H80" s="21" t="s">
        <v>268</v>
      </c>
      <c r="I80" s="18" t="e">
        <f>(BudgetApprop_Data[[#This Row],[Latest House]]-BudgetApprop_Data[[#This Row],[FY 2019]])/BudgetApprop_Data[[#This Row],[FY 2019]]</f>
        <v>#VALUE!</v>
      </c>
      <c r="J80" s="19"/>
    </row>
    <row r="81" spans="1:10" x14ac:dyDescent="0.25">
      <c r="A81" s="24">
        <v>20.933</v>
      </c>
      <c r="B81" t="s">
        <v>72</v>
      </c>
      <c r="D81" t="s">
        <v>370</v>
      </c>
      <c r="E81" s="21" t="s">
        <v>268</v>
      </c>
      <c r="F81" s="21" t="s">
        <v>268</v>
      </c>
      <c r="G81" s="18" t="e">
        <f>(BudgetApprop_Data[[#This Row],[President]]-BudgetApprop_Data[[#This Row],[FY 2019]])/BudgetApprop_Data[[#This Row],[FY 2019]]</f>
        <v>#VALUE!</v>
      </c>
      <c r="H81" s="21" t="s">
        <v>268</v>
      </c>
      <c r="I81" s="18" t="e">
        <f>(BudgetApprop_Data[[#This Row],[Latest House]]-BudgetApprop_Data[[#This Row],[FY 2019]])/BudgetApprop_Data[[#This Row],[FY 2019]]</f>
        <v>#VALUE!</v>
      </c>
      <c r="J81" s="19"/>
    </row>
    <row r="82" spans="1:10" x14ac:dyDescent="0.25">
      <c r="A82" s="25">
        <v>21.015999999999998</v>
      </c>
      <c r="B82" t="s">
        <v>72</v>
      </c>
      <c r="D82" t="s">
        <v>371</v>
      </c>
      <c r="E82" s="21" t="s">
        <v>268</v>
      </c>
      <c r="F82" s="21" t="s">
        <v>268</v>
      </c>
      <c r="G82" s="18" t="e">
        <f>(BudgetApprop_Data[[#This Row],[President]]-BudgetApprop_Data[[#This Row],[FY 2019]])/BudgetApprop_Data[[#This Row],[FY 2019]]</f>
        <v>#VALUE!</v>
      </c>
      <c r="H82" s="21" t="s">
        <v>268</v>
      </c>
      <c r="I82" s="18" t="e">
        <f>(BudgetApprop_Data[[#This Row],[Latest House]]-BudgetApprop_Data[[#This Row],[FY 2019]])/BudgetApprop_Data[[#This Row],[FY 2019]]</f>
        <v>#VALUE!</v>
      </c>
      <c r="J82" s="19"/>
    </row>
    <row r="83" spans="1:10" x14ac:dyDescent="0.25">
      <c r="A83" s="26">
        <v>21.02</v>
      </c>
      <c r="B83" t="s">
        <v>72</v>
      </c>
      <c r="D83" t="s">
        <v>203</v>
      </c>
      <c r="E83" s="21" t="s">
        <v>268</v>
      </c>
      <c r="F83" s="21" t="s">
        <v>268</v>
      </c>
      <c r="G83" s="22" t="e">
        <f>(BudgetApprop_Data[[#This Row],[President]]-BudgetApprop_Data[[#This Row],[FY 2019]])/BudgetApprop_Data[[#This Row],[FY 2019]]</f>
        <v>#VALUE!</v>
      </c>
      <c r="H83" s="21" t="s">
        <v>268</v>
      </c>
      <c r="I83" s="22" t="e">
        <f>(BudgetApprop_Data[[#This Row],[Latest House]]-BudgetApprop_Data[[#This Row],[FY 2019]])/BudgetApprop_Data[[#This Row],[FY 2019]]</f>
        <v>#VALUE!</v>
      </c>
      <c r="J83" s="15"/>
    </row>
    <row r="84" spans="1:10" x14ac:dyDescent="0.25">
      <c r="A84" s="24">
        <v>30.001999999999999</v>
      </c>
      <c r="B84" t="s">
        <v>72</v>
      </c>
      <c r="D84" t="e">
        <v>#N/A</v>
      </c>
      <c r="E84" s="21" t="s">
        <v>268</v>
      </c>
      <c r="F84" s="21" t="s">
        <v>268</v>
      </c>
      <c r="G84" s="18" t="e">
        <f>(BudgetApprop_Data[[#This Row],[President]]-BudgetApprop_Data[[#This Row],[FY 2019]])/BudgetApprop_Data[[#This Row],[FY 2019]]</f>
        <v>#VALUE!</v>
      </c>
      <c r="H84" s="21" t="s">
        <v>268</v>
      </c>
      <c r="I84" s="18" t="e">
        <f>(BudgetApprop_Data[[#This Row],[Latest House]]-BudgetApprop_Data[[#This Row],[FY 2019]])/BudgetApprop_Data[[#This Row],[FY 2019]]</f>
        <v>#VALUE!</v>
      </c>
      <c r="J84" s="19"/>
    </row>
    <row r="85" spans="1:10" x14ac:dyDescent="0.25">
      <c r="A85" s="25">
        <v>36.643999999999998</v>
      </c>
      <c r="B85" t="s">
        <v>72</v>
      </c>
      <c r="D85" t="e">
        <v>#N/A</v>
      </c>
      <c r="E85" s="21" t="s">
        <v>268</v>
      </c>
      <c r="F85" s="21" t="s">
        <v>268</v>
      </c>
      <c r="G85" s="18" t="e">
        <f>(BudgetApprop_Data[[#This Row],[President]]-BudgetApprop_Data[[#This Row],[FY 2019]])/BudgetApprop_Data[[#This Row],[FY 2019]]</f>
        <v>#VALUE!</v>
      </c>
      <c r="H85" s="21" t="s">
        <v>268</v>
      </c>
      <c r="I85" s="18" t="e">
        <f>(BudgetApprop_Data[[#This Row],[Latest House]]-BudgetApprop_Data[[#This Row],[FY 2019]])/BudgetApprop_Data[[#This Row],[FY 2019]]</f>
        <v>#VALUE!</v>
      </c>
      <c r="J85" s="19"/>
    </row>
    <row r="86" spans="1:10" x14ac:dyDescent="0.25">
      <c r="A86" s="26">
        <v>45.024000000000001</v>
      </c>
      <c r="B86" t="s">
        <v>72</v>
      </c>
      <c r="D86" t="s">
        <v>204</v>
      </c>
      <c r="E86" s="21" t="s">
        <v>268</v>
      </c>
      <c r="F86" s="21" t="s">
        <v>268</v>
      </c>
      <c r="G86" s="22" t="e">
        <f>(BudgetApprop_Data[[#This Row],[President]]-BudgetApprop_Data[[#This Row],[FY 2019]])/BudgetApprop_Data[[#This Row],[FY 2019]]</f>
        <v>#VALUE!</v>
      </c>
      <c r="H86" s="21" t="s">
        <v>268</v>
      </c>
      <c r="I86" s="22" t="e">
        <f>(BudgetApprop_Data[[#This Row],[Latest House]]-BudgetApprop_Data[[#This Row],[FY 2019]])/BudgetApprop_Data[[#This Row],[FY 2019]]</f>
        <v>#VALUE!</v>
      </c>
      <c r="J86" s="15"/>
    </row>
    <row r="87" spans="1:10" x14ac:dyDescent="0.25">
      <c r="A87" s="24">
        <v>45.149000000000001</v>
      </c>
      <c r="B87" t="s">
        <v>72</v>
      </c>
      <c r="D87" t="s">
        <v>372</v>
      </c>
      <c r="E87" s="21" t="s">
        <v>268</v>
      </c>
      <c r="F87" s="21" t="s">
        <v>268</v>
      </c>
      <c r="G87" s="18" t="e">
        <f>(BudgetApprop_Data[[#This Row],[President]]-BudgetApprop_Data[[#This Row],[FY 2019]])/BudgetApprop_Data[[#This Row],[FY 2019]]</f>
        <v>#VALUE!</v>
      </c>
      <c r="H87" s="21" t="s">
        <v>268</v>
      </c>
      <c r="I87" s="18" t="e">
        <f>(BudgetApprop_Data[[#This Row],[Latest House]]-BudgetApprop_Data[[#This Row],[FY 2019]])/BudgetApprop_Data[[#This Row],[FY 2019]]</f>
        <v>#VALUE!</v>
      </c>
      <c r="J87" s="19"/>
    </row>
    <row r="88" spans="1:10" x14ac:dyDescent="0.25">
      <c r="A88" s="26">
        <v>45.164000000000001</v>
      </c>
      <c r="B88" t="s">
        <v>72</v>
      </c>
      <c r="D88" t="s">
        <v>205</v>
      </c>
      <c r="E88" s="21" t="s">
        <v>268</v>
      </c>
      <c r="F88" s="21" t="s">
        <v>268</v>
      </c>
      <c r="G88" s="22" t="e">
        <f>(BudgetApprop_Data[[#This Row],[President]]-BudgetApprop_Data[[#This Row],[FY 2019]])/BudgetApprop_Data[[#This Row],[FY 2019]]</f>
        <v>#VALUE!</v>
      </c>
      <c r="H88" s="21" t="s">
        <v>268</v>
      </c>
      <c r="I88" s="22" t="e">
        <f>(BudgetApprop_Data[[#This Row],[Latest House]]-BudgetApprop_Data[[#This Row],[FY 2019]])/BudgetApprop_Data[[#This Row],[FY 2019]]</f>
        <v>#VALUE!</v>
      </c>
      <c r="J88" s="15"/>
    </row>
    <row r="89" spans="1:10" x14ac:dyDescent="0.25">
      <c r="A89" s="25">
        <v>61.655999999999999</v>
      </c>
      <c r="B89" t="s">
        <v>72</v>
      </c>
      <c r="D89" t="e">
        <v>#N/A</v>
      </c>
      <c r="E89" s="21" t="s">
        <v>268</v>
      </c>
      <c r="F89" s="21" t="s">
        <v>268</v>
      </c>
      <c r="G89" s="18" t="e">
        <f>(BudgetApprop_Data[[#This Row],[President]]-BudgetApprop_Data[[#This Row],[FY 2019]])/BudgetApprop_Data[[#This Row],[FY 2019]]</f>
        <v>#VALUE!</v>
      </c>
      <c r="H89" s="21" t="s">
        <v>268</v>
      </c>
      <c r="I89" s="18" t="e">
        <f>(BudgetApprop_Data[[#This Row],[Latest House]]-BudgetApprop_Data[[#This Row],[FY 2019]])/BudgetApprop_Data[[#This Row],[FY 2019]]</f>
        <v>#VALUE!</v>
      </c>
      <c r="J89" s="19"/>
    </row>
    <row r="90" spans="1:10" x14ac:dyDescent="0.25">
      <c r="A90" s="24">
        <v>64.024000000000001</v>
      </c>
      <c r="B90" t="s">
        <v>72</v>
      </c>
      <c r="D90" t="s">
        <v>373</v>
      </c>
      <c r="E90" s="21" t="s">
        <v>268</v>
      </c>
      <c r="F90" s="21" t="s">
        <v>268</v>
      </c>
      <c r="G90" s="18" t="e">
        <f>(BudgetApprop_Data[[#This Row],[President]]-BudgetApprop_Data[[#This Row],[FY 2019]])/BudgetApprop_Data[[#This Row],[FY 2019]]</f>
        <v>#VALUE!</v>
      </c>
      <c r="H90" s="21" t="s">
        <v>268</v>
      </c>
      <c r="I90" s="18" t="e">
        <f>(BudgetApprop_Data[[#This Row],[Latest House]]-BudgetApprop_Data[[#This Row],[FY 2019]])/BudgetApprop_Data[[#This Row],[FY 2019]]</f>
        <v>#VALUE!</v>
      </c>
      <c r="J90" s="19"/>
    </row>
    <row r="91" spans="1:10" x14ac:dyDescent="0.25">
      <c r="A91" s="25">
        <v>66.039000000000001</v>
      </c>
      <c r="B91" t="s">
        <v>72</v>
      </c>
      <c r="D91" t="s">
        <v>374</v>
      </c>
      <c r="E91" s="21" t="s">
        <v>268</v>
      </c>
      <c r="F91" s="21" t="s">
        <v>268</v>
      </c>
      <c r="G91" s="18" t="e">
        <f>(BudgetApprop_Data[[#This Row],[President]]-BudgetApprop_Data[[#This Row],[FY 2019]])/BudgetApprop_Data[[#This Row],[FY 2019]]</f>
        <v>#VALUE!</v>
      </c>
      <c r="H91" s="21" t="s">
        <v>268</v>
      </c>
      <c r="I91" s="18" t="e">
        <f>(BudgetApprop_Data[[#This Row],[Latest House]]-BudgetApprop_Data[[#This Row],[FY 2019]])/BudgetApprop_Data[[#This Row],[FY 2019]]</f>
        <v>#VALUE!</v>
      </c>
      <c r="J91" s="19"/>
    </row>
    <row r="92" spans="1:10" x14ac:dyDescent="0.25">
      <c r="A92" s="24">
        <v>66.436999999999998</v>
      </c>
      <c r="B92" t="s">
        <v>72</v>
      </c>
      <c r="D92" t="s">
        <v>375</v>
      </c>
      <c r="E92" s="21" t="s">
        <v>268</v>
      </c>
      <c r="F92" s="21" t="s">
        <v>268</v>
      </c>
      <c r="G92" s="18" t="e">
        <f>(BudgetApprop_Data[[#This Row],[President]]-BudgetApprop_Data[[#This Row],[FY 2019]])/BudgetApprop_Data[[#This Row],[FY 2019]]</f>
        <v>#VALUE!</v>
      </c>
      <c r="H92" s="21" t="s">
        <v>268</v>
      </c>
      <c r="I92" s="18" t="e">
        <f>(BudgetApprop_Data[[#This Row],[Latest House]]-BudgetApprop_Data[[#This Row],[FY 2019]])/BudgetApprop_Data[[#This Row],[FY 2019]]</f>
        <v>#VALUE!</v>
      </c>
      <c r="J92" s="19"/>
    </row>
    <row r="93" spans="1:10" x14ac:dyDescent="0.25">
      <c r="A93" s="25">
        <v>66.460999999999999</v>
      </c>
      <c r="B93" t="s">
        <v>72</v>
      </c>
      <c r="D93" t="s">
        <v>376</v>
      </c>
      <c r="E93" s="21" t="s">
        <v>268</v>
      </c>
      <c r="F93" s="21" t="s">
        <v>268</v>
      </c>
      <c r="G93" s="18" t="e">
        <f>(BudgetApprop_Data[[#This Row],[President]]-BudgetApprop_Data[[#This Row],[FY 2019]])/BudgetApprop_Data[[#This Row],[FY 2019]]</f>
        <v>#VALUE!</v>
      </c>
      <c r="H93" s="21" t="s">
        <v>268</v>
      </c>
      <c r="I93" s="18" t="e">
        <f>(BudgetApprop_Data[[#This Row],[Latest House]]-BudgetApprop_Data[[#This Row],[FY 2019]])/BudgetApprop_Data[[#This Row],[FY 2019]]</f>
        <v>#VALUE!</v>
      </c>
      <c r="J93" s="19"/>
    </row>
    <row r="94" spans="1:10" x14ac:dyDescent="0.25">
      <c r="A94" s="24">
        <v>66.471999999999994</v>
      </c>
      <c r="B94" t="s">
        <v>72</v>
      </c>
      <c r="D94" t="s">
        <v>377</v>
      </c>
      <c r="E94" s="21" t="s">
        <v>268</v>
      </c>
      <c r="F94" s="21" t="s">
        <v>268</v>
      </c>
      <c r="G94" s="18" t="e">
        <f>(BudgetApprop_Data[[#This Row],[President]]-BudgetApprop_Data[[#This Row],[FY 2019]])/BudgetApprop_Data[[#This Row],[FY 2019]]</f>
        <v>#VALUE!</v>
      </c>
      <c r="H94" s="21" t="s">
        <v>268</v>
      </c>
      <c r="I94" s="18" t="e">
        <f>(BudgetApprop_Data[[#This Row],[Latest House]]-BudgetApprop_Data[[#This Row],[FY 2019]])/BudgetApprop_Data[[#This Row],[FY 2019]]</f>
        <v>#VALUE!</v>
      </c>
      <c r="J94" s="19"/>
    </row>
    <row r="95" spans="1:10" x14ac:dyDescent="0.25">
      <c r="A95" s="25">
        <v>66.817999999999998</v>
      </c>
      <c r="B95" t="s">
        <v>72</v>
      </c>
      <c r="D95" t="s">
        <v>378</v>
      </c>
      <c r="E95" s="21" t="s">
        <v>268</v>
      </c>
      <c r="F95" s="21" t="s">
        <v>268</v>
      </c>
      <c r="G95" s="18" t="e">
        <f>(BudgetApprop_Data[[#This Row],[President]]-BudgetApprop_Data[[#This Row],[FY 2019]])/BudgetApprop_Data[[#This Row],[FY 2019]]</f>
        <v>#VALUE!</v>
      </c>
      <c r="H95" s="21" t="s">
        <v>268</v>
      </c>
      <c r="I95" s="18" t="e">
        <f>(BudgetApprop_Data[[#This Row],[Latest House]]-BudgetApprop_Data[[#This Row],[FY 2019]])/BudgetApprop_Data[[#This Row],[FY 2019]]</f>
        <v>#VALUE!</v>
      </c>
      <c r="J95" s="19"/>
    </row>
    <row r="96" spans="1:10" x14ac:dyDescent="0.25">
      <c r="A96" s="26">
        <v>84.001999999999995</v>
      </c>
      <c r="B96" t="s">
        <v>72</v>
      </c>
      <c r="C96" t="s">
        <v>267</v>
      </c>
      <c r="D96" t="s">
        <v>206</v>
      </c>
      <c r="E96" s="21">
        <v>642000</v>
      </c>
      <c r="F96" s="21">
        <v>486000</v>
      </c>
      <c r="G96" s="22">
        <f>(BudgetApprop_Data[[#This Row],[President]]-BudgetApprop_Data[[#This Row],[FY 2019]])/BudgetApprop_Data[[#This Row],[FY 2019]]</f>
        <v>-0.24299065420560748</v>
      </c>
      <c r="H96" s="21">
        <v>672000</v>
      </c>
      <c r="I96" s="22">
        <f>(BudgetApprop_Data[[#This Row],[Latest House]]-BudgetApprop_Data[[#This Row],[FY 2019]])/BudgetApprop_Data[[#This Row],[FY 2019]]</f>
        <v>4.6728971962616821E-2</v>
      </c>
      <c r="J96" s="15"/>
    </row>
    <row r="97" spans="1:10" x14ac:dyDescent="0.25">
      <c r="A97" s="27">
        <v>84.01</v>
      </c>
      <c r="B97" t="s">
        <v>72</v>
      </c>
      <c r="D97" t="s">
        <v>207</v>
      </c>
      <c r="E97" s="21" t="s">
        <v>268</v>
      </c>
      <c r="F97" s="21" t="s">
        <v>268</v>
      </c>
      <c r="G97" s="22" t="e">
        <f>(BudgetApprop_Data[[#This Row],[President]]-BudgetApprop_Data[[#This Row],[FY 2019]])/BudgetApprop_Data[[#This Row],[FY 2019]]</f>
        <v>#VALUE!</v>
      </c>
      <c r="H97" s="21" t="s">
        <v>268</v>
      </c>
      <c r="I97" s="22" t="e">
        <f>(BudgetApprop_Data[[#This Row],[Latest House]]-BudgetApprop_Data[[#This Row],[FY 2019]])/BudgetApprop_Data[[#This Row],[FY 2019]]</f>
        <v>#VALUE!</v>
      </c>
      <c r="J97" s="15"/>
    </row>
    <row r="98" spans="1:10" x14ac:dyDescent="0.25">
      <c r="A98" s="25">
        <v>84.010999999999996</v>
      </c>
      <c r="B98" t="s">
        <v>72</v>
      </c>
      <c r="D98" t="s">
        <v>379</v>
      </c>
      <c r="E98" s="21" t="s">
        <v>268</v>
      </c>
      <c r="F98" s="21" t="s">
        <v>268</v>
      </c>
      <c r="G98" s="18" t="e">
        <f>(BudgetApprop_Data[[#This Row],[President]]-BudgetApprop_Data[[#This Row],[FY 2019]])/BudgetApprop_Data[[#This Row],[FY 2019]]</f>
        <v>#VALUE!</v>
      </c>
      <c r="H98" s="21" t="s">
        <v>268</v>
      </c>
      <c r="I98" s="18" t="e">
        <f>(BudgetApprop_Data[[#This Row],[Latest House]]-BudgetApprop_Data[[#This Row],[FY 2019]])/BudgetApprop_Data[[#This Row],[FY 2019]]</f>
        <v>#VALUE!</v>
      </c>
      <c r="J98" s="19"/>
    </row>
    <row r="99" spans="1:10" x14ac:dyDescent="0.25">
      <c r="A99" s="26">
        <v>84.027000000000001</v>
      </c>
      <c r="B99" t="s">
        <v>72</v>
      </c>
      <c r="C99" t="s">
        <v>267</v>
      </c>
      <c r="D99" t="s">
        <v>208</v>
      </c>
      <c r="E99" s="21">
        <v>12364000</v>
      </c>
      <c r="F99" s="21">
        <v>12364000</v>
      </c>
      <c r="G99" s="22">
        <f>(BudgetApprop_Data[[#This Row],[President]]-BudgetApprop_Data[[#This Row],[FY 2019]])/BudgetApprop_Data[[#This Row],[FY 2019]]</f>
        <v>0</v>
      </c>
      <c r="H99" s="21">
        <v>13364000</v>
      </c>
      <c r="I99" s="22">
        <f>(BudgetApprop_Data[[#This Row],[Latest House]]-BudgetApprop_Data[[#This Row],[FY 2019]])/BudgetApprop_Data[[#This Row],[FY 2019]]</f>
        <v>8.0879974118408277E-2</v>
      </c>
      <c r="J99" s="15"/>
    </row>
    <row r="100" spans="1:10" x14ac:dyDescent="0.25">
      <c r="A100" s="25">
        <v>84.040999999999997</v>
      </c>
      <c r="B100" t="s">
        <v>72</v>
      </c>
      <c r="C100" t="s">
        <v>267</v>
      </c>
      <c r="D100" t="s">
        <v>285</v>
      </c>
      <c r="E100" s="17">
        <v>1446000</v>
      </c>
      <c r="F100" s="17">
        <v>1372000</v>
      </c>
      <c r="G100" s="18">
        <f>(BudgetApprop_Data[[#This Row],[President]]-BudgetApprop_Data[[#This Row],[FY 2019]])/BudgetApprop_Data[[#This Row],[FY 2019]]</f>
        <v>-5.1175656984785614E-2</v>
      </c>
      <c r="H100" s="17">
        <v>1498000</v>
      </c>
      <c r="I100" s="18">
        <f>(BudgetApprop_Data[[#This Row],[Latest House]]-BudgetApprop_Data[[#This Row],[FY 2019]])/BudgetApprop_Data[[#This Row],[FY 2019]]</f>
        <v>3.5961272475795295E-2</v>
      </c>
      <c r="J100" s="19"/>
    </row>
    <row r="101" spans="1:10" x14ac:dyDescent="0.25">
      <c r="A101" s="24">
        <v>84.042000000000002</v>
      </c>
      <c r="B101" t="s">
        <v>72</v>
      </c>
      <c r="D101" t="s">
        <v>380</v>
      </c>
      <c r="E101" s="21" t="s">
        <v>268</v>
      </c>
      <c r="F101" s="21" t="s">
        <v>268</v>
      </c>
      <c r="G101" s="18" t="e">
        <f>(BudgetApprop_Data[[#This Row],[President]]-BudgetApprop_Data[[#This Row],[FY 2019]])/BudgetApprop_Data[[#This Row],[FY 2019]]</f>
        <v>#VALUE!</v>
      </c>
      <c r="H101" s="21" t="s">
        <v>268</v>
      </c>
      <c r="I101" s="18" t="e">
        <f>(BudgetApprop_Data[[#This Row],[Latest House]]-BudgetApprop_Data[[#This Row],[FY 2019]])/BudgetApprop_Data[[#This Row],[FY 2019]]</f>
        <v>#VALUE!</v>
      </c>
      <c r="J101" s="19"/>
    </row>
    <row r="102" spans="1:10" x14ac:dyDescent="0.25">
      <c r="A102" s="26">
        <v>84.043999999999997</v>
      </c>
      <c r="B102" t="s">
        <v>72</v>
      </c>
      <c r="D102" t="s">
        <v>209</v>
      </c>
      <c r="E102" s="21" t="s">
        <v>268</v>
      </c>
      <c r="F102" s="21" t="s">
        <v>268</v>
      </c>
      <c r="G102" s="22" t="e">
        <f>(BudgetApprop_Data[[#This Row],[President]]-BudgetApprop_Data[[#This Row],[FY 2019]])/BudgetApprop_Data[[#This Row],[FY 2019]]</f>
        <v>#VALUE!</v>
      </c>
      <c r="H102" s="21" t="s">
        <v>268</v>
      </c>
      <c r="I102" s="22" t="e">
        <f>(BudgetApprop_Data[[#This Row],[Latest House]]-BudgetApprop_Data[[#This Row],[FY 2019]])/BudgetApprop_Data[[#This Row],[FY 2019]]</f>
        <v>#VALUE!</v>
      </c>
      <c r="J102" s="15"/>
    </row>
    <row r="103" spans="1:10" x14ac:dyDescent="0.25">
      <c r="A103" s="25">
        <v>84.048000000000002</v>
      </c>
      <c r="B103" t="s">
        <v>72</v>
      </c>
      <c r="C103" t="s">
        <v>267</v>
      </c>
      <c r="D103" t="s">
        <v>284</v>
      </c>
      <c r="E103" s="17">
        <v>1263000</v>
      </c>
      <c r="F103" s="17">
        <v>1263000</v>
      </c>
      <c r="G103" s="18">
        <f>(BudgetApprop_Data[[#This Row],[President]]-BudgetApprop_Data[[#This Row],[FY 2019]])/BudgetApprop_Data[[#This Row],[FY 2019]]</f>
        <v>0</v>
      </c>
      <c r="H103" s="17">
        <v>1310000</v>
      </c>
      <c r="I103" s="18">
        <f>(BudgetApprop_Data[[#This Row],[Latest House]]-BudgetApprop_Data[[#This Row],[FY 2019]])/BudgetApprop_Data[[#This Row],[FY 2019]]</f>
        <v>3.7212984956452887E-2</v>
      </c>
      <c r="J103" s="19"/>
    </row>
    <row r="104" spans="1:10" x14ac:dyDescent="0.25">
      <c r="A104" s="26">
        <v>84.126000000000005</v>
      </c>
      <c r="B104" t="s">
        <v>72</v>
      </c>
      <c r="C104" t="s">
        <v>267</v>
      </c>
      <c r="D104" t="s">
        <v>210</v>
      </c>
      <c r="E104" s="21">
        <v>3304000</v>
      </c>
      <c r="F104" s="21">
        <v>3397000</v>
      </c>
      <c r="G104" s="22">
        <f>(BudgetApprop_Data[[#This Row],[President]]-BudgetApprop_Data[[#This Row],[FY 2019]])/BudgetApprop_Data[[#This Row],[FY 2019]]</f>
        <v>2.8147699757869248E-2</v>
      </c>
      <c r="H104" s="21">
        <v>3397000</v>
      </c>
      <c r="I104" s="22">
        <f>(BudgetApprop_Data[[#This Row],[Latest House]]-BudgetApprop_Data[[#This Row],[FY 2019]])/BudgetApprop_Data[[#This Row],[FY 2019]]</f>
        <v>2.8147699757869248E-2</v>
      </c>
      <c r="J104" s="15"/>
    </row>
    <row r="105" spans="1:10" x14ac:dyDescent="0.25">
      <c r="A105" s="24">
        <v>84.165000000000006</v>
      </c>
      <c r="B105" t="s">
        <v>72</v>
      </c>
      <c r="D105" t="s">
        <v>381</v>
      </c>
      <c r="E105" s="21" t="s">
        <v>268</v>
      </c>
      <c r="F105" s="21" t="s">
        <v>268</v>
      </c>
      <c r="G105" s="18" t="e">
        <f>(BudgetApprop_Data[[#This Row],[President]]-BudgetApprop_Data[[#This Row],[FY 2019]])/BudgetApprop_Data[[#This Row],[FY 2019]]</f>
        <v>#VALUE!</v>
      </c>
      <c r="H105" s="21" t="s">
        <v>268</v>
      </c>
      <c r="I105" s="18" t="e">
        <f>(BudgetApprop_Data[[#This Row],[Latest House]]-BudgetApprop_Data[[#This Row],[FY 2019]])/BudgetApprop_Data[[#This Row],[FY 2019]]</f>
        <v>#VALUE!</v>
      </c>
      <c r="J105" s="19"/>
    </row>
    <row r="106" spans="1:10" x14ac:dyDescent="0.25">
      <c r="A106" s="26">
        <v>84.173000000000002</v>
      </c>
      <c r="B106" t="s">
        <v>72</v>
      </c>
      <c r="D106" t="s">
        <v>211</v>
      </c>
      <c r="E106" s="21" t="s">
        <v>268</v>
      </c>
      <c r="F106" s="21" t="s">
        <v>268</v>
      </c>
      <c r="G106" s="22" t="e">
        <f>(BudgetApprop_Data[[#This Row],[President]]-BudgetApprop_Data[[#This Row],[FY 2019]])/BudgetApprop_Data[[#This Row],[FY 2019]]</f>
        <v>#VALUE!</v>
      </c>
      <c r="H106" s="21" t="s">
        <v>268</v>
      </c>
      <c r="I106" s="22" t="e">
        <f>(BudgetApprop_Data[[#This Row],[Latest House]]-BudgetApprop_Data[[#This Row],[FY 2019]])/BudgetApprop_Data[[#This Row],[FY 2019]]</f>
        <v>#VALUE!</v>
      </c>
      <c r="J106" s="15"/>
    </row>
    <row r="107" spans="1:10" x14ac:dyDescent="0.25">
      <c r="A107" s="25">
        <v>84.180999999999997</v>
      </c>
      <c r="B107" t="s">
        <v>72</v>
      </c>
      <c r="D107" t="s">
        <v>382</v>
      </c>
      <c r="E107" s="21" t="s">
        <v>268</v>
      </c>
      <c r="F107" s="21" t="s">
        <v>268</v>
      </c>
      <c r="G107" s="18" t="e">
        <f>(BudgetApprop_Data[[#This Row],[President]]-BudgetApprop_Data[[#This Row],[FY 2019]])/BudgetApprop_Data[[#This Row],[FY 2019]]</f>
        <v>#VALUE!</v>
      </c>
      <c r="H107" s="21" t="s">
        <v>268</v>
      </c>
      <c r="I107" s="18" t="e">
        <f>(BudgetApprop_Data[[#This Row],[Latest House]]-BudgetApprop_Data[[#This Row],[FY 2019]])/BudgetApprop_Data[[#This Row],[FY 2019]]</f>
        <v>#VALUE!</v>
      </c>
      <c r="J107" s="19"/>
    </row>
    <row r="108" spans="1:10" x14ac:dyDescent="0.25">
      <c r="A108" s="26">
        <v>84.186999999999998</v>
      </c>
      <c r="B108" t="s">
        <v>72</v>
      </c>
      <c r="D108" t="s">
        <v>212</v>
      </c>
      <c r="E108" s="21" t="s">
        <v>268</v>
      </c>
      <c r="F108" s="21" t="s">
        <v>268</v>
      </c>
      <c r="G108" s="22" t="e">
        <f>(BudgetApprop_Data[[#This Row],[President]]-BudgetApprop_Data[[#This Row],[FY 2019]])/BudgetApprop_Data[[#This Row],[FY 2019]]</f>
        <v>#VALUE!</v>
      </c>
      <c r="H108" s="21" t="s">
        <v>268</v>
      </c>
      <c r="I108" s="22" t="e">
        <f>(BudgetApprop_Data[[#This Row],[Latest House]]-BudgetApprop_Data[[#This Row],[FY 2019]])/BudgetApprop_Data[[#This Row],[FY 2019]]</f>
        <v>#VALUE!</v>
      </c>
      <c r="J108" s="15"/>
    </row>
    <row r="109" spans="1:10" x14ac:dyDescent="0.25">
      <c r="A109" s="24">
        <v>84.195999999999998</v>
      </c>
      <c r="B109" t="s">
        <v>72</v>
      </c>
      <c r="D109" t="s">
        <v>383</v>
      </c>
      <c r="E109" s="21" t="s">
        <v>268</v>
      </c>
      <c r="F109" s="21" t="s">
        <v>268</v>
      </c>
      <c r="G109" s="18" t="e">
        <f>(BudgetApprop_Data[[#This Row],[President]]-BudgetApprop_Data[[#This Row],[FY 2019]])/BudgetApprop_Data[[#This Row],[FY 2019]]</f>
        <v>#VALUE!</v>
      </c>
      <c r="H109" s="21" t="s">
        <v>268</v>
      </c>
      <c r="I109" s="18" t="e">
        <f>(BudgetApprop_Data[[#This Row],[Latest House]]-BudgetApprop_Data[[#This Row],[FY 2019]])/BudgetApprop_Data[[#This Row],[FY 2019]]</f>
        <v>#VALUE!</v>
      </c>
      <c r="J109" s="19"/>
    </row>
    <row r="110" spans="1:10" x14ac:dyDescent="0.25">
      <c r="A110" s="26">
        <v>84.287000000000006</v>
      </c>
      <c r="B110" t="s">
        <v>72</v>
      </c>
      <c r="C110" t="s">
        <v>267</v>
      </c>
      <c r="D110" t="s">
        <v>213</v>
      </c>
      <c r="E110" s="21">
        <v>1222000</v>
      </c>
      <c r="F110" s="21">
        <v>0</v>
      </c>
      <c r="G110" s="22">
        <f>(BudgetApprop_Data[[#This Row],[President]]-BudgetApprop_Data[[#This Row],[FY 2019]])/BudgetApprop_Data[[#This Row],[FY 2019]]</f>
        <v>-1</v>
      </c>
      <c r="H110" s="21">
        <v>1322000</v>
      </c>
      <c r="I110" s="22">
        <f>(BudgetApprop_Data[[#This Row],[Latest House]]-BudgetApprop_Data[[#This Row],[FY 2019]])/BudgetApprop_Data[[#This Row],[FY 2019]]</f>
        <v>8.1833060556464818E-2</v>
      </c>
      <c r="J110" s="15"/>
    </row>
    <row r="111" spans="1:10" x14ac:dyDescent="0.25">
      <c r="A111" s="24">
        <v>84.364999999999995</v>
      </c>
      <c r="B111" t="s">
        <v>72</v>
      </c>
      <c r="C111" t="s">
        <v>267</v>
      </c>
      <c r="D111" t="s">
        <v>281</v>
      </c>
      <c r="E111" s="17">
        <v>737000</v>
      </c>
      <c r="F111" s="17">
        <v>737000</v>
      </c>
      <c r="G111" s="18">
        <f>(BudgetApprop_Data[[#This Row],[President]]-BudgetApprop_Data[[#This Row],[FY 2019]])/BudgetApprop_Data[[#This Row],[FY 2019]]</f>
        <v>0</v>
      </c>
      <c r="H111" s="17">
        <v>980000</v>
      </c>
      <c r="I111" s="18">
        <f>(BudgetApprop_Data[[#This Row],[Latest House]]-BudgetApprop_Data[[#This Row],[FY 2019]])/BudgetApprop_Data[[#This Row],[FY 2019]]</f>
        <v>0.32971506105834464</v>
      </c>
      <c r="J111" s="19"/>
    </row>
    <row r="112" spans="1:10" x14ac:dyDescent="0.25">
      <c r="A112" s="25">
        <v>84.366</v>
      </c>
      <c r="B112" t="s">
        <v>72</v>
      </c>
      <c r="D112" t="e">
        <v>#N/A</v>
      </c>
      <c r="E112" s="21" t="s">
        <v>268</v>
      </c>
      <c r="F112" s="21" t="s">
        <v>268</v>
      </c>
      <c r="G112" s="18" t="e">
        <f>(BudgetApprop_Data[[#This Row],[President]]-BudgetApprop_Data[[#This Row],[FY 2019]])/BudgetApprop_Data[[#This Row],[FY 2019]]</f>
        <v>#VALUE!</v>
      </c>
      <c r="H112" s="21" t="s">
        <v>268</v>
      </c>
      <c r="I112" s="18" t="e">
        <f>(BudgetApprop_Data[[#This Row],[Latest House]]-BudgetApprop_Data[[#This Row],[FY 2019]])/BudgetApprop_Data[[#This Row],[FY 2019]]</f>
        <v>#VALUE!</v>
      </c>
      <c r="J112" s="19"/>
    </row>
    <row r="113" spans="1:10" x14ac:dyDescent="0.25">
      <c r="A113" s="24">
        <v>84.367000000000004</v>
      </c>
      <c r="B113" t="s">
        <v>72</v>
      </c>
      <c r="C113" t="s">
        <v>267</v>
      </c>
      <c r="D113" t="s">
        <v>287</v>
      </c>
      <c r="E113" s="17">
        <v>2056000</v>
      </c>
      <c r="F113" s="17">
        <v>0</v>
      </c>
      <c r="G113" s="18">
        <f>(BudgetApprop_Data[[#This Row],[President]]-BudgetApprop_Data[[#This Row],[FY 2019]])/BudgetApprop_Data[[#This Row],[FY 2019]]</f>
        <v>-1</v>
      </c>
      <c r="H113" s="17">
        <v>2556000</v>
      </c>
      <c r="I113" s="18">
        <f>(BudgetApprop_Data[[#This Row],[Latest House]]-BudgetApprop_Data[[#This Row],[FY 2019]])/BudgetApprop_Data[[#This Row],[FY 2019]]</f>
        <v>0.24319066147859922</v>
      </c>
      <c r="J113" s="19"/>
    </row>
    <row r="114" spans="1:10" x14ac:dyDescent="0.25">
      <c r="A114" s="25">
        <v>84.373999999999995</v>
      </c>
      <c r="B114" t="s">
        <v>72</v>
      </c>
      <c r="C114" t="s">
        <v>267</v>
      </c>
      <c r="D114" t="s">
        <v>272</v>
      </c>
      <c r="E114" s="17">
        <v>200000</v>
      </c>
      <c r="F114" s="17">
        <v>200000</v>
      </c>
      <c r="G114" s="18">
        <f>(BudgetApprop_Data[[#This Row],[President]]-BudgetApprop_Data[[#This Row],[FY 2019]])/BudgetApprop_Data[[#This Row],[FY 2019]]</f>
        <v>0</v>
      </c>
      <c r="H114" s="17">
        <v>200000</v>
      </c>
      <c r="I114" s="18">
        <f>(BudgetApprop_Data[[#This Row],[Latest House]]-BudgetApprop_Data[[#This Row],[FY 2019]])/BudgetApprop_Data[[#This Row],[FY 2019]]</f>
        <v>0</v>
      </c>
      <c r="J114" s="19"/>
    </row>
    <row r="115" spans="1:10" x14ac:dyDescent="0.25">
      <c r="A115" s="28">
        <v>84.376999999999995</v>
      </c>
      <c r="B115" t="s">
        <v>72</v>
      </c>
      <c r="D115" t="e">
        <v>#N/A</v>
      </c>
      <c r="E115" s="21" t="s">
        <v>268</v>
      </c>
      <c r="F115" s="21" t="s">
        <v>268</v>
      </c>
      <c r="G115" s="22" t="e">
        <f>(BudgetApprop_Data[[#This Row],[President]]-BudgetApprop_Data[[#This Row],[FY 2019]])/BudgetApprop_Data[[#This Row],[FY 2019]]</f>
        <v>#VALUE!</v>
      </c>
      <c r="H115" s="21" t="s">
        <v>268</v>
      </c>
      <c r="I115" s="22" t="e">
        <f>(BudgetApprop_Data[[#This Row],[Latest House]]-BudgetApprop_Data[[#This Row],[FY 2019]])/BudgetApprop_Data[[#This Row],[FY 2019]]</f>
        <v>#VALUE!</v>
      </c>
      <c r="J115" s="15"/>
    </row>
    <row r="116" spans="1:10" x14ac:dyDescent="0.25">
      <c r="A116" s="25">
        <v>84.396000000000001</v>
      </c>
      <c r="B116" t="s">
        <v>72</v>
      </c>
      <c r="D116" t="e">
        <v>#N/A</v>
      </c>
      <c r="E116" s="21" t="s">
        <v>268</v>
      </c>
      <c r="F116" s="21" t="s">
        <v>268</v>
      </c>
      <c r="G116" s="18" t="e">
        <f>(BudgetApprop_Data[[#This Row],[President]]-BudgetApprop_Data[[#This Row],[FY 2019]])/BudgetApprop_Data[[#This Row],[FY 2019]]</f>
        <v>#VALUE!</v>
      </c>
      <c r="H116" s="21" t="s">
        <v>268</v>
      </c>
      <c r="I116" s="18" t="e">
        <f>(BudgetApprop_Data[[#This Row],[Latest House]]-BudgetApprop_Data[[#This Row],[FY 2019]])/BudgetApprop_Data[[#This Row],[FY 2019]]</f>
        <v>#VALUE!</v>
      </c>
      <c r="J116" s="19"/>
    </row>
    <row r="117" spans="1:10" x14ac:dyDescent="0.25">
      <c r="A117" s="24">
        <v>84.418999999999997</v>
      </c>
      <c r="B117" t="s">
        <v>72</v>
      </c>
      <c r="D117" t="s">
        <v>384</v>
      </c>
      <c r="E117" s="21" t="s">
        <v>268</v>
      </c>
      <c r="F117" s="21" t="s">
        <v>268</v>
      </c>
      <c r="G117" s="18" t="e">
        <f>(BudgetApprop_Data[[#This Row],[President]]-BudgetApprop_Data[[#This Row],[FY 2019]])/BudgetApprop_Data[[#This Row],[FY 2019]]</f>
        <v>#VALUE!</v>
      </c>
      <c r="H117" s="21" t="s">
        <v>268</v>
      </c>
      <c r="I117" s="18" t="e">
        <f>(BudgetApprop_Data[[#This Row],[Latest House]]-BudgetApprop_Data[[#This Row],[FY 2019]])/BudgetApprop_Data[[#This Row],[FY 2019]]</f>
        <v>#VALUE!</v>
      </c>
      <c r="J117" s="19"/>
    </row>
    <row r="118" spans="1:10" x14ac:dyDescent="0.25">
      <c r="A118" s="25">
        <v>84.42</v>
      </c>
      <c r="B118" t="s">
        <v>75</v>
      </c>
      <c r="D118" t="e">
        <v>#N/A</v>
      </c>
      <c r="E118" s="21" t="s">
        <v>268</v>
      </c>
      <c r="F118" s="21" t="s">
        <v>268</v>
      </c>
      <c r="G118" s="18" t="e">
        <f>(BudgetApprop_Data[[#This Row],[President]]-BudgetApprop_Data[[#This Row],[FY 2019]])/BudgetApprop_Data[[#This Row],[FY 2019]]</f>
        <v>#VALUE!</v>
      </c>
      <c r="H118" s="21" t="s">
        <v>268</v>
      </c>
      <c r="I118" s="18" t="e">
        <f>(BudgetApprop_Data[[#This Row],[Latest House]]-BudgetApprop_Data[[#This Row],[FY 2019]])/BudgetApprop_Data[[#This Row],[FY 2019]]</f>
        <v>#VALUE!</v>
      </c>
      <c r="J118" s="19"/>
    </row>
    <row r="119" spans="1:10" x14ac:dyDescent="0.25">
      <c r="A119" s="24">
        <v>89.003</v>
      </c>
      <c r="B119" t="s">
        <v>72</v>
      </c>
      <c r="D119" t="s">
        <v>385</v>
      </c>
      <c r="E119" s="21" t="s">
        <v>268</v>
      </c>
      <c r="F119" s="21" t="s">
        <v>268</v>
      </c>
      <c r="G119" s="18" t="e">
        <f>(BudgetApprop_Data[[#This Row],[President]]-BudgetApprop_Data[[#This Row],[FY 2019]])/BudgetApprop_Data[[#This Row],[FY 2019]]</f>
        <v>#VALUE!</v>
      </c>
      <c r="H119" s="21" t="s">
        <v>268</v>
      </c>
      <c r="I119" s="18" t="e">
        <f>(BudgetApprop_Data[[#This Row],[Latest House]]-BudgetApprop_Data[[#This Row],[FY 2019]])/BudgetApprop_Data[[#This Row],[FY 2019]]</f>
        <v>#VALUE!</v>
      </c>
      <c r="J119" s="19"/>
    </row>
    <row r="120" spans="1:10" x14ac:dyDescent="0.25">
      <c r="A120" s="26">
        <v>93.043000000000006</v>
      </c>
      <c r="B120" t="s">
        <v>75</v>
      </c>
      <c r="C120" t="s">
        <v>269</v>
      </c>
      <c r="D120" t="s">
        <v>299</v>
      </c>
      <c r="E120" s="21">
        <v>24848</v>
      </c>
      <c r="F120" s="21">
        <v>24848</v>
      </c>
      <c r="G120" s="22">
        <f>(BudgetApprop_Data[[#This Row],[President]]-BudgetApprop_Data[[#This Row],[FY 2019]])/BudgetApprop_Data[[#This Row],[FY 2019]]</f>
        <v>0</v>
      </c>
      <c r="H120" s="21">
        <v>24848</v>
      </c>
      <c r="I120" s="22">
        <f>(BudgetApprop_Data[[#This Row],[Latest House]]-BudgetApprop_Data[[#This Row],[FY 2019]])/BudgetApprop_Data[[#This Row],[FY 2019]]</f>
        <v>0</v>
      </c>
      <c r="J120" s="15"/>
    </row>
    <row r="121" spans="1:10" x14ac:dyDescent="0.25">
      <c r="A121" s="28">
        <v>93.043999999999997</v>
      </c>
      <c r="B121" t="s">
        <v>75</v>
      </c>
      <c r="C121" t="s">
        <v>269</v>
      </c>
      <c r="D121" t="s">
        <v>312</v>
      </c>
      <c r="E121" s="21">
        <v>385074</v>
      </c>
      <c r="F121" s="21">
        <v>385074</v>
      </c>
      <c r="G121" s="76">
        <v>-2.1999999999999999E-2</v>
      </c>
      <c r="H121" s="21">
        <v>422000</v>
      </c>
      <c r="I121" s="22">
        <f>(BudgetApprop_Data[[#This Row],[Latest House]]-BudgetApprop_Data[[#This Row],[FY 2019]])/BudgetApprop_Data[[#This Row],[FY 2019]]</f>
        <v>9.58932568804957E-2</v>
      </c>
      <c r="J121" s="15"/>
    </row>
    <row r="122" spans="1:10" x14ac:dyDescent="0.25">
      <c r="A122" s="28">
        <v>93.045000000000002</v>
      </c>
      <c r="B122" t="s">
        <v>75</v>
      </c>
      <c r="C122" t="s">
        <v>269</v>
      </c>
      <c r="D122" t="s">
        <v>314</v>
      </c>
      <c r="E122" s="21">
        <v>495342</v>
      </c>
      <c r="F122" s="21">
        <v>495342</v>
      </c>
      <c r="G122" s="22">
        <v>-2.1999999999999999E-2</v>
      </c>
      <c r="H122" s="21">
        <v>525000</v>
      </c>
      <c r="I122" s="22">
        <f>(BudgetApprop_Data[[#This Row],[Latest House]]-BudgetApprop_Data[[#This Row],[FY 2019]])/BudgetApprop_Data[[#This Row],[FY 2019]]</f>
        <v>5.9873784173359014E-2</v>
      </c>
      <c r="J122" s="15"/>
    </row>
    <row r="123" spans="1:10" x14ac:dyDescent="0.25">
      <c r="A123" s="26">
        <v>93.052000000000007</v>
      </c>
      <c r="B123" t="s">
        <v>75</v>
      </c>
      <c r="C123" t="s">
        <v>269</v>
      </c>
      <c r="D123" t="s">
        <v>311</v>
      </c>
      <c r="E123" s="21">
        <v>181186</v>
      </c>
      <c r="F123" s="21">
        <v>150586</v>
      </c>
      <c r="G123" s="22">
        <f>(BudgetApprop_Data[[#This Row],[President]]-BudgetApprop_Data[[#This Row],[FY 2019]])/BudgetApprop_Data[[#This Row],[FY 2019]]</f>
        <v>-0.1688872208669544</v>
      </c>
      <c r="H123" s="21">
        <v>200000</v>
      </c>
      <c r="I123" s="22">
        <f>(BudgetApprop_Data[[#This Row],[Latest House]]-BudgetApprop_Data[[#This Row],[FY 2019]])/BudgetApprop_Data[[#This Row],[FY 2019]]</f>
        <v>0.10383804488205491</v>
      </c>
      <c r="J123" s="15"/>
    </row>
    <row r="124" spans="1:10" x14ac:dyDescent="0.25">
      <c r="A124" s="26">
        <v>93.052999999999997</v>
      </c>
      <c r="B124" t="s">
        <v>75</v>
      </c>
      <c r="C124" t="s">
        <v>269</v>
      </c>
      <c r="D124" t="s">
        <v>309</v>
      </c>
      <c r="E124" s="21">
        <v>160069</v>
      </c>
      <c r="F124" s="21">
        <v>160068</v>
      </c>
      <c r="G124" s="22">
        <f>(BudgetApprop_Data[[#This Row],[President]]-BudgetApprop_Data[[#This Row],[FY 2019]])/BudgetApprop_Data[[#This Row],[FY 2019]]</f>
        <v>-6.2473058493524672E-6</v>
      </c>
      <c r="H124" s="21">
        <v>170000</v>
      </c>
      <c r="I124" s="22">
        <f>(BudgetApprop_Data[[#This Row],[Latest House]]-BudgetApprop_Data[[#This Row],[FY 2019]])/BudgetApprop_Data[[#This Row],[FY 2019]]</f>
        <v>6.204199438991935E-2</v>
      </c>
      <c r="J124" s="15"/>
    </row>
    <row r="125" spans="1:10" x14ac:dyDescent="0.25">
      <c r="A125" s="24">
        <v>93.07</v>
      </c>
      <c r="B125" t="s">
        <v>72</v>
      </c>
      <c r="D125" t="s">
        <v>386</v>
      </c>
      <c r="E125" s="21" t="s">
        <v>268</v>
      </c>
      <c r="F125" s="21" t="s">
        <v>268</v>
      </c>
      <c r="G125" s="18" t="e">
        <f>(BudgetApprop_Data[[#This Row],[President]]-BudgetApprop_Data[[#This Row],[FY 2019]])/BudgetApprop_Data[[#This Row],[FY 2019]]</f>
        <v>#VALUE!</v>
      </c>
      <c r="H125" s="21" t="s">
        <v>268</v>
      </c>
      <c r="I125" s="18" t="e">
        <f>(BudgetApprop_Data[[#This Row],[Latest House]]-BudgetApprop_Data[[#This Row],[FY 2019]])/BudgetApprop_Data[[#This Row],[FY 2019]]</f>
        <v>#VALUE!</v>
      </c>
      <c r="J125" s="19"/>
    </row>
    <row r="126" spans="1:10" x14ac:dyDescent="0.25">
      <c r="A126" s="28">
        <v>93.070999999999998</v>
      </c>
      <c r="B126" t="s">
        <v>75</v>
      </c>
      <c r="D126" t="s">
        <v>317</v>
      </c>
      <c r="E126" s="21" t="s">
        <v>268</v>
      </c>
      <c r="F126" s="21" t="s">
        <v>268</v>
      </c>
      <c r="G126" s="22">
        <v>6.6000000000000003E-2</v>
      </c>
      <c r="H126" s="21" t="s">
        <v>268</v>
      </c>
      <c r="I126" s="22" t="e">
        <f>(BudgetApprop_Data[[#This Row],[Latest House]]-BudgetApprop_Data[[#This Row],[FY 2019]])/BudgetApprop_Data[[#This Row],[FY 2019]]</f>
        <v>#VALUE!</v>
      </c>
      <c r="J126" s="15"/>
    </row>
    <row r="127" spans="1:10" x14ac:dyDescent="0.25">
      <c r="A127" s="24">
        <v>93.072999999999993</v>
      </c>
      <c r="B127" t="s">
        <v>72</v>
      </c>
      <c r="D127" t="s">
        <v>387</v>
      </c>
      <c r="E127" s="21" t="s">
        <v>268</v>
      </c>
      <c r="F127" s="21" t="s">
        <v>268</v>
      </c>
      <c r="G127" s="18" t="e">
        <f>(BudgetApprop_Data[[#This Row],[President]]-BudgetApprop_Data[[#This Row],[FY 2019]])/BudgetApprop_Data[[#This Row],[FY 2019]]</f>
        <v>#VALUE!</v>
      </c>
      <c r="H127" s="21" t="s">
        <v>268</v>
      </c>
      <c r="I127" s="18" t="e">
        <f>(BudgetApprop_Data[[#This Row],[Latest House]]-BudgetApprop_Data[[#This Row],[FY 2019]])/BudgetApprop_Data[[#This Row],[FY 2019]]</f>
        <v>#VALUE!</v>
      </c>
      <c r="J127" s="19"/>
    </row>
    <row r="128" spans="1:10" x14ac:dyDescent="0.25">
      <c r="A128" s="25">
        <v>93.073999999999998</v>
      </c>
      <c r="B128" t="s">
        <v>72</v>
      </c>
      <c r="C128" t="s">
        <v>267</v>
      </c>
      <c r="D128" t="s">
        <v>275</v>
      </c>
      <c r="E128" s="17">
        <v>265000</v>
      </c>
      <c r="F128" s="17">
        <v>258000</v>
      </c>
      <c r="G128" s="18">
        <f>(BudgetApprop_Data[[#This Row],[President]]-BudgetApprop_Data[[#This Row],[FY 2019]])/BudgetApprop_Data[[#This Row],[FY 2019]]</f>
        <v>-2.6415094339622643E-2</v>
      </c>
      <c r="H128" s="17">
        <v>317000</v>
      </c>
      <c r="I128" s="18">
        <f>(BudgetApprop_Data[[#This Row],[Latest House]]-BudgetApprop_Data[[#This Row],[FY 2019]])/BudgetApprop_Data[[#This Row],[FY 2019]]</f>
        <v>0.19622641509433963</v>
      </c>
      <c r="J128" s="19"/>
    </row>
    <row r="129" spans="1:10" x14ac:dyDescent="0.25">
      <c r="A129" s="24">
        <v>93.081999999999994</v>
      </c>
      <c r="B129" t="s">
        <v>72</v>
      </c>
      <c r="D129" t="s">
        <v>388</v>
      </c>
      <c r="E129" s="21" t="s">
        <v>268</v>
      </c>
      <c r="F129" s="21" t="s">
        <v>268</v>
      </c>
      <c r="G129" s="18" t="e">
        <f>(BudgetApprop_Data[[#This Row],[President]]-BudgetApprop_Data[[#This Row],[FY 2019]])/BudgetApprop_Data[[#This Row],[FY 2019]]</f>
        <v>#VALUE!</v>
      </c>
      <c r="H129" s="21" t="s">
        <v>268</v>
      </c>
      <c r="I129" s="18" t="e">
        <f>(BudgetApprop_Data[[#This Row],[Latest House]]-BudgetApprop_Data[[#This Row],[FY 2019]])/BudgetApprop_Data[[#This Row],[FY 2019]]</f>
        <v>#VALUE!</v>
      </c>
      <c r="J129" s="19"/>
    </row>
    <row r="130" spans="1:10" x14ac:dyDescent="0.25">
      <c r="A130" s="25">
        <v>93.087000000000003</v>
      </c>
      <c r="B130" t="s">
        <v>75</v>
      </c>
      <c r="D130" t="s">
        <v>214</v>
      </c>
      <c r="E130" s="21" t="s">
        <v>268</v>
      </c>
      <c r="F130" s="21" t="s">
        <v>268</v>
      </c>
      <c r="G130" s="18" t="e">
        <f>(BudgetApprop_Data[[#This Row],[President]]-BudgetApprop_Data[[#This Row],[FY 2019]])/BudgetApprop_Data[[#This Row],[FY 2019]]</f>
        <v>#VALUE!</v>
      </c>
      <c r="H130" s="21" t="s">
        <v>268</v>
      </c>
      <c r="I130" s="18" t="e">
        <f>(BudgetApprop_Data[[#This Row],[Latest House]]-BudgetApprop_Data[[#This Row],[FY 2019]])/BudgetApprop_Data[[#This Row],[FY 2019]]</f>
        <v>#VALUE!</v>
      </c>
      <c r="J130" s="19"/>
    </row>
    <row r="131" spans="1:10" x14ac:dyDescent="0.25">
      <c r="A131" s="26">
        <v>93.091999999999999</v>
      </c>
      <c r="B131" t="s">
        <v>72</v>
      </c>
      <c r="D131" t="s">
        <v>215</v>
      </c>
      <c r="E131" s="21" t="s">
        <v>268</v>
      </c>
      <c r="F131" s="21" t="s">
        <v>268</v>
      </c>
      <c r="G131" s="22" t="e">
        <f>(BudgetApprop_Data[[#This Row],[President]]-BudgetApprop_Data[[#This Row],[FY 2019]])/BudgetApprop_Data[[#This Row],[FY 2019]]</f>
        <v>#VALUE!</v>
      </c>
      <c r="H131" s="21" t="s">
        <v>268</v>
      </c>
      <c r="I131" s="22" t="e">
        <f>(BudgetApprop_Data[[#This Row],[Latest House]]-BudgetApprop_Data[[#This Row],[FY 2019]])/BudgetApprop_Data[[#This Row],[FY 2019]]</f>
        <v>#VALUE!</v>
      </c>
      <c r="J131" s="15"/>
    </row>
    <row r="132" spans="1:10" x14ac:dyDescent="0.25">
      <c r="A132" s="24">
        <v>93.094999999999999</v>
      </c>
      <c r="B132" t="s">
        <v>72</v>
      </c>
      <c r="D132" t="e">
        <v>#N/A</v>
      </c>
      <c r="E132" s="21" t="s">
        <v>268</v>
      </c>
      <c r="F132" s="21" t="s">
        <v>268</v>
      </c>
      <c r="G132" s="18" t="e">
        <f>(BudgetApprop_Data[[#This Row],[President]]-BudgetApprop_Data[[#This Row],[FY 2019]])/BudgetApprop_Data[[#This Row],[FY 2019]]</f>
        <v>#VALUE!</v>
      </c>
      <c r="H132" s="21" t="s">
        <v>268</v>
      </c>
      <c r="I132" s="18" t="e">
        <f>(BudgetApprop_Data[[#This Row],[Latest House]]-BudgetApprop_Data[[#This Row],[FY 2019]])/BudgetApprop_Data[[#This Row],[FY 2019]]</f>
        <v>#VALUE!</v>
      </c>
      <c r="J132" s="19"/>
    </row>
    <row r="133" spans="1:10" x14ac:dyDescent="0.25">
      <c r="A133" s="25">
        <v>93.102999999999994</v>
      </c>
      <c r="B133" t="s">
        <v>72</v>
      </c>
      <c r="D133" t="s">
        <v>389</v>
      </c>
      <c r="E133" s="21" t="s">
        <v>268</v>
      </c>
      <c r="F133" s="21" t="s">
        <v>268</v>
      </c>
      <c r="G133" s="18" t="e">
        <f>(BudgetApprop_Data[[#This Row],[President]]-BudgetApprop_Data[[#This Row],[FY 2019]])/BudgetApprop_Data[[#This Row],[FY 2019]]</f>
        <v>#VALUE!</v>
      </c>
      <c r="H133" s="21" t="s">
        <v>268</v>
      </c>
      <c r="I133" s="18" t="e">
        <f>(BudgetApprop_Data[[#This Row],[Latest House]]-BudgetApprop_Data[[#This Row],[FY 2019]])/BudgetApprop_Data[[#This Row],[FY 2019]]</f>
        <v>#VALUE!</v>
      </c>
      <c r="J133" s="19"/>
    </row>
    <row r="134" spans="1:10" x14ac:dyDescent="0.25">
      <c r="A134" s="24">
        <v>93.116</v>
      </c>
      <c r="B134" t="s">
        <v>72</v>
      </c>
      <c r="C134" t="s">
        <v>269</v>
      </c>
      <c r="D134" t="s">
        <v>307</v>
      </c>
      <c r="E134" s="21">
        <v>142256</v>
      </c>
      <c r="F134" s="21">
        <v>135034</v>
      </c>
      <c r="G134" s="18">
        <f>(BudgetApprop_Data[[#This Row],[President]]-BudgetApprop_Data[[#This Row],[FY 2019]])/BudgetApprop_Data[[#This Row],[FY 2019]]</f>
        <v>-5.0767630187830391E-2</v>
      </c>
      <c r="H134" s="21">
        <v>152256</v>
      </c>
      <c r="I134" s="18">
        <f>(BudgetApprop_Data[[#This Row],[Latest House]]-BudgetApprop_Data[[#This Row],[FY 2019]])/BudgetApprop_Data[[#This Row],[FY 2019]]</f>
        <v>7.0295804746372731E-2</v>
      </c>
      <c r="J134" s="19"/>
    </row>
    <row r="135" spans="1:10" x14ac:dyDescent="0.25">
      <c r="A135" s="25">
        <v>93.117999999999995</v>
      </c>
      <c r="B135" t="s">
        <v>72</v>
      </c>
      <c r="D135" t="s">
        <v>390</v>
      </c>
      <c r="E135" s="21" t="s">
        <v>268</v>
      </c>
      <c r="F135" s="21" t="s">
        <v>268</v>
      </c>
      <c r="G135" s="18" t="e">
        <f>(BudgetApprop_Data[[#This Row],[President]]-BudgetApprop_Data[[#This Row],[FY 2019]])/BudgetApprop_Data[[#This Row],[FY 2019]]</f>
        <v>#VALUE!</v>
      </c>
      <c r="H135" s="21" t="s">
        <v>268</v>
      </c>
      <c r="I135" s="18" t="e">
        <f>(BudgetApprop_Data[[#This Row],[Latest House]]-BudgetApprop_Data[[#This Row],[FY 2019]])/BudgetApprop_Data[[#This Row],[FY 2019]]</f>
        <v>#VALUE!</v>
      </c>
      <c r="J135" s="19"/>
    </row>
    <row r="136" spans="1:10" x14ac:dyDescent="0.25">
      <c r="A136" s="24">
        <v>93.126999999999995</v>
      </c>
      <c r="B136" t="s">
        <v>72</v>
      </c>
      <c r="C136" t="s">
        <v>269</v>
      </c>
      <c r="D136" t="s">
        <v>298</v>
      </c>
      <c r="E136" s="21">
        <v>22334</v>
      </c>
      <c r="F136" s="21">
        <v>0</v>
      </c>
      <c r="G136" s="18">
        <f>(BudgetApprop_Data[[#This Row],[President]]-BudgetApprop_Data[[#This Row],[FY 2019]])/BudgetApprop_Data[[#This Row],[FY 2019]]</f>
        <v>-1</v>
      </c>
      <c r="H136" s="21">
        <v>22334</v>
      </c>
      <c r="I136" s="18">
        <f>(BudgetApprop_Data[[#This Row],[Latest House]]-BudgetApprop_Data[[#This Row],[FY 2019]])/BudgetApprop_Data[[#This Row],[FY 2019]]</f>
        <v>0</v>
      </c>
      <c r="J136" s="19"/>
    </row>
    <row r="137" spans="1:10" x14ac:dyDescent="0.25">
      <c r="A137" s="25">
        <v>93.135999999999996</v>
      </c>
      <c r="B137" t="s">
        <v>72</v>
      </c>
      <c r="C137" t="s">
        <v>269</v>
      </c>
      <c r="D137" t="s">
        <v>303</v>
      </c>
      <c r="E137" s="21">
        <v>49430</v>
      </c>
      <c r="F137" s="21">
        <v>49430</v>
      </c>
      <c r="G137" s="18">
        <f>(BudgetApprop_Data[[#This Row],[President]]-BudgetApprop_Data[[#This Row],[FY 2019]])/BudgetApprop_Data[[#This Row],[FY 2019]]</f>
        <v>0</v>
      </c>
      <c r="H137" s="21">
        <v>54430</v>
      </c>
      <c r="I137" s="18">
        <f>(BudgetApprop_Data[[#This Row],[Latest House]]-BudgetApprop_Data[[#This Row],[FY 2019]])/BudgetApprop_Data[[#This Row],[FY 2019]]</f>
        <v>0.10115314586283633</v>
      </c>
      <c r="J137" s="19"/>
    </row>
    <row r="138" spans="1:10" x14ac:dyDescent="0.25">
      <c r="A138" s="24">
        <v>93.15</v>
      </c>
      <c r="B138" t="s">
        <v>72</v>
      </c>
      <c r="C138" t="s">
        <v>269</v>
      </c>
      <c r="D138" t="s">
        <v>304</v>
      </c>
      <c r="E138" s="21">
        <v>64635</v>
      </c>
      <c r="F138" s="21">
        <v>64635</v>
      </c>
      <c r="G138" s="18">
        <f>(BudgetApprop_Data[[#This Row],[President]]-BudgetApprop_Data[[#This Row],[FY 2019]])/BudgetApprop_Data[[#This Row],[FY 2019]]</f>
        <v>0</v>
      </c>
      <c r="H138" s="21">
        <v>66635</v>
      </c>
      <c r="I138" s="18">
        <f>(BudgetApprop_Data[[#This Row],[Latest House]]-BudgetApprop_Data[[#This Row],[FY 2019]])/BudgetApprop_Data[[#This Row],[FY 2019]]</f>
        <v>3.0942987545447512E-2</v>
      </c>
      <c r="J138" s="19"/>
    </row>
    <row r="139" spans="1:10" x14ac:dyDescent="0.25">
      <c r="A139" s="26">
        <v>93.153000000000006</v>
      </c>
      <c r="B139" t="s">
        <v>72</v>
      </c>
      <c r="D139" t="s">
        <v>216</v>
      </c>
      <c r="E139" s="21" t="s">
        <v>268</v>
      </c>
      <c r="F139" s="21" t="s">
        <v>268</v>
      </c>
      <c r="G139" s="22" t="e">
        <f>(BudgetApprop_Data[[#This Row],[President]]-BudgetApprop_Data[[#This Row],[FY 2019]])/BudgetApprop_Data[[#This Row],[FY 2019]]</f>
        <v>#VALUE!</v>
      </c>
      <c r="H139" s="21" t="s">
        <v>268</v>
      </c>
      <c r="I139" s="22" t="e">
        <f>(BudgetApprop_Data[[#This Row],[Latest House]]-BudgetApprop_Data[[#This Row],[FY 2019]])/BudgetApprop_Data[[#This Row],[FY 2019]]</f>
        <v>#VALUE!</v>
      </c>
      <c r="J139" s="15"/>
    </row>
    <row r="140" spans="1:10" x14ac:dyDescent="0.25">
      <c r="A140" s="74">
        <v>93.224000000000004</v>
      </c>
      <c r="B140" t="s">
        <v>72</v>
      </c>
      <c r="C140" t="s">
        <v>267</v>
      </c>
      <c r="D140" t="s">
        <v>217</v>
      </c>
      <c r="E140" s="21">
        <v>5626000</v>
      </c>
      <c r="F140" s="21">
        <v>5626000</v>
      </c>
      <c r="G140" s="22">
        <f>(BudgetApprop_Data[[#This Row],[President]]-BudgetApprop_Data[[#This Row],[FY 2019]])/BudgetApprop_Data[[#This Row],[FY 2019]]</f>
        <v>0</v>
      </c>
      <c r="H140" s="21">
        <v>5676000</v>
      </c>
      <c r="I140" s="22">
        <f>(BudgetApprop_Data[[#This Row],[Latest House]]-BudgetApprop_Data[[#This Row],[FY 2019]])/BudgetApprop_Data[[#This Row],[FY 2019]]</f>
        <v>8.887308922858158E-3</v>
      </c>
      <c r="J140" s="15"/>
    </row>
    <row r="141" spans="1:10" x14ac:dyDescent="0.25">
      <c r="A141" s="25">
        <v>93.242000000000004</v>
      </c>
      <c r="B141" t="s">
        <v>72</v>
      </c>
      <c r="D141" t="s">
        <v>391</v>
      </c>
      <c r="E141" s="21" t="s">
        <v>268</v>
      </c>
      <c r="F141" s="21" t="s">
        <v>268</v>
      </c>
      <c r="G141" s="18" t="e">
        <f>(BudgetApprop_Data[[#This Row],[President]]-BudgetApprop_Data[[#This Row],[FY 2019]])/BudgetApprop_Data[[#This Row],[FY 2019]]</f>
        <v>#VALUE!</v>
      </c>
      <c r="H141" s="21" t="s">
        <v>268</v>
      </c>
      <c r="I141" s="18" t="e">
        <f>(BudgetApprop_Data[[#This Row],[Latest House]]-BudgetApprop_Data[[#This Row],[FY 2019]])/BudgetApprop_Data[[#This Row],[FY 2019]]</f>
        <v>#VALUE!</v>
      </c>
      <c r="J141" s="19"/>
    </row>
    <row r="142" spans="1:10" x14ac:dyDescent="0.25">
      <c r="A142" s="26">
        <v>93.242999999999995</v>
      </c>
      <c r="B142" t="s">
        <v>72</v>
      </c>
      <c r="C142" t="s">
        <v>269</v>
      </c>
      <c r="D142" t="s">
        <v>218</v>
      </c>
      <c r="E142" s="21">
        <v>71001</v>
      </c>
      <c r="F142" s="21">
        <v>81001</v>
      </c>
      <c r="G142" s="22">
        <f>(BudgetApprop_Data[[#This Row],[President]]-BudgetApprop_Data[[#This Row],[FY 2019]])/BudgetApprop_Data[[#This Row],[FY 2019]]</f>
        <v>0.14084308671708848</v>
      </c>
      <c r="H142" s="21">
        <v>84001</v>
      </c>
      <c r="I142" s="22">
        <f>(BudgetApprop_Data[[#This Row],[Latest House]]-BudgetApprop_Data[[#This Row],[FY 2019]])/BudgetApprop_Data[[#This Row],[FY 2019]]</f>
        <v>0.18309601273221504</v>
      </c>
      <c r="J142" s="15"/>
    </row>
    <row r="143" spans="1:10" x14ac:dyDescent="0.25">
      <c r="A143" s="25">
        <v>93.262</v>
      </c>
      <c r="B143" t="s">
        <v>72</v>
      </c>
      <c r="D143" t="s">
        <v>392</v>
      </c>
      <c r="E143" s="21" t="s">
        <v>268</v>
      </c>
      <c r="F143" s="21" t="s">
        <v>268</v>
      </c>
      <c r="G143" s="18" t="e">
        <f>(BudgetApprop_Data[[#This Row],[President]]-BudgetApprop_Data[[#This Row],[FY 2019]])/BudgetApprop_Data[[#This Row],[FY 2019]]</f>
        <v>#VALUE!</v>
      </c>
      <c r="H143" s="21" t="s">
        <v>268</v>
      </c>
      <c r="I143" s="18" t="e">
        <f>(BudgetApprop_Data[[#This Row],[Latest House]]-BudgetApprop_Data[[#This Row],[FY 2019]])/BudgetApprop_Data[[#This Row],[FY 2019]]</f>
        <v>#VALUE!</v>
      </c>
      <c r="J143" s="19"/>
    </row>
    <row r="144" spans="1:10" x14ac:dyDescent="0.25">
      <c r="A144" s="74">
        <v>93.268000000000001</v>
      </c>
      <c r="B144" t="s">
        <v>72</v>
      </c>
      <c r="C144" t="s">
        <v>267</v>
      </c>
      <c r="D144" t="s">
        <v>219</v>
      </c>
      <c r="E144" s="21">
        <v>4176000</v>
      </c>
      <c r="F144" s="21">
        <v>4761000</v>
      </c>
      <c r="G144" s="22">
        <f>(BudgetApprop_Data[[#This Row],[President]]-BudgetApprop_Data[[#This Row],[FY 2019]])/BudgetApprop_Data[[#This Row],[FY 2019]]</f>
        <v>0.14008620689655171</v>
      </c>
      <c r="H144" s="21">
        <v>4761000</v>
      </c>
      <c r="I144" s="22">
        <f>(BudgetApprop_Data[[#This Row],[Latest House]]-BudgetApprop_Data[[#This Row],[FY 2019]])/BudgetApprop_Data[[#This Row],[FY 2019]]</f>
        <v>0.14008620689655171</v>
      </c>
      <c r="J144" s="15"/>
    </row>
    <row r="145" spans="1:10" x14ac:dyDescent="0.25">
      <c r="A145" s="25">
        <v>93.27</v>
      </c>
      <c r="B145" t="s">
        <v>72</v>
      </c>
      <c r="D145" t="s">
        <v>393</v>
      </c>
      <c r="E145" s="21" t="s">
        <v>268</v>
      </c>
      <c r="F145" s="21" t="s">
        <v>268</v>
      </c>
      <c r="G145" s="18" t="e">
        <f>(BudgetApprop_Data[[#This Row],[President]]-BudgetApprop_Data[[#This Row],[FY 2019]])/BudgetApprop_Data[[#This Row],[FY 2019]]</f>
        <v>#VALUE!</v>
      </c>
      <c r="H145" s="21" t="s">
        <v>268</v>
      </c>
      <c r="I145" s="18" t="e">
        <f>(BudgetApprop_Data[[#This Row],[Latest House]]-BudgetApprop_Data[[#This Row],[FY 2019]])/BudgetApprop_Data[[#This Row],[FY 2019]]</f>
        <v>#VALUE!</v>
      </c>
      <c r="J145" s="19"/>
    </row>
    <row r="146" spans="1:10" x14ac:dyDescent="0.25">
      <c r="A146" s="24">
        <v>93.278999999999996</v>
      </c>
      <c r="B146" t="s">
        <v>72</v>
      </c>
      <c r="D146" t="s">
        <v>394</v>
      </c>
      <c r="E146" s="21" t="s">
        <v>268</v>
      </c>
      <c r="F146" s="21" t="s">
        <v>268</v>
      </c>
      <c r="G146" s="18" t="e">
        <f>(BudgetApprop_Data[[#This Row],[President]]-BudgetApprop_Data[[#This Row],[FY 2019]])/BudgetApprop_Data[[#This Row],[FY 2019]]</f>
        <v>#VALUE!</v>
      </c>
      <c r="H146" s="21" t="s">
        <v>268</v>
      </c>
      <c r="I146" s="18" t="e">
        <f>(BudgetApprop_Data[[#This Row],[Latest House]]-BudgetApprop_Data[[#This Row],[FY 2019]])/BudgetApprop_Data[[#This Row],[FY 2019]]</f>
        <v>#VALUE!</v>
      </c>
      <c r="J146" s="19"/>
    </row>
    <row r="147" spans="1:10" x14ac:dyDescent="0.25">
      <c r="A147" s="25">
        <v>93.283000000000001</v>
      </c>
      <c r="B147" t="s">
        <v>72</v>
      </c>
      <c r="D147" t="s">
        <v>395</v>
      </c>
      <c r="E147" s="21" t="s">
        <v>268</v>
      </c>
      <c r="F147" s="21" t="s">
        <v>268</v>
      </c>
      <c r="G147" s="18" t="e">
        <f>(BudgetApprop_Data[[#This Row],[President]]-BudgetApprop_Data[[#This Row],[FY 2019]])/BudgetApprop_Data[[#This Row],[FY 2019]]</f>
        <v>#VALUE!</v>
      </c>
      <c r="H147" s="21" t="s">
        <v>268</v>
      </c>
      <c r="I147" s="18" t="e">
        <f>(BudgetApprop_Data[[#This Row],[Latest House]]-BudgetApprop_Data[[#This Row],[FY 2019]])/BudgetApprop_Data[[#This Row],[FY 2019]]</f>
        <v>#VALUE!</v>
      </c>
      <c r="J147" s="19"/>
    </row>
    <row r="148" spans="1:10" x14ac:dyDescent="0.25">
      <c r="A148" s="26">
        <v>93.296999999999997</v>
      </c>
      <c r="B148" t="s">
        <v>72</v>
      </c>
      <c r="D148" t="s">
        <v>220</v>
      </c>
      <c r="E148" s="21" t="s">
        <v>268</v>
      </c>
      <c r="F148" s="21" t="s">
        <v>268</v>
      </c>
      <c r="G148" s="22" t="e">
        <f>(BudgetApprop_Data[[#This Row],[President]]-BudgetApprop_Data[[#This Row],[FY 2019]])/BudgetApprop_Data[[#This Row],[FY 2019]]</f>
        <v>#VALUE!</v>
      </c>
      <c r="H148" s="21" t="s">
        <v>268</v>
      </c>
      <c r="I148" s="22" t="e">
        <f>(BudgetApprop_Data[[#This Row],[Latest House]]-BudgetApprop_Data[[#This Row],[FY 2019]])/BudgetApprop_Data[[#This Row],[FY 2019]]</f>
        <v>#VALUE!</v>
      </c>
      <c r="J148" s="15"/>
    </row>
    <row r="149" spans="1:10" x14ac:dyDescent="0.25">
      <c r="A149" s="25">
        <v>93.322000000000003</v>
      </c>
      <c r="B149" t="s">
        <v>72</v>
      </c>
      <c r="D149" t="s">
        <v>396</v>
      </c>
      <c r="E149" s="21" t="s">
        <v>268</v>
      </c>
      <c r="F149" s="21" t="s">
        <v>268</v>
      </c>
      <c r="G149" s="18" t="e">
        <f>(BudgetApprop_Data[[#This Row],[President]]-BudgetApprop_Data[[#This Row],[FY 2019]])/BudgetApprop_Data[[#This Row],[FY 2019]]</f>
        <v>#VALUE!</v>
      </c>
      <c r="H149" s="21" t="s">
        <v>268</v>
      </c>
      <c r="I149" s="18" t="e">
        <f>(BudgetApprop_Data[[#This Row],[Latest House]]-BudgetApprop_Data[[#This Row],[FY 2019]])/BudgetApprop_Data[[#This Row],[FY 2019]]</f>
        <v>#VALUE!</v>
      </c>
      <c r="J149" s="19"/>
    </row>
    <row r="150" spans="1:10" x14ac:dyDescent="0.25">
      <c r="A150" s="24">
        <v>93.322999999999993</v>
      </c>
      <c r="B150" t="s">
        <v>72</v>
      </c>
      <c r="D150" t="s">
        <v>397</v>
      </c>
      <c r="E150" s="21" t="s">
        <v>268</v>
      </c>
      <c r="F150" s="21" t="s">
        <v>268</v>
      </c>
      <c r="G150" s="18" t="e">
        <f>(BudgetApprop_Data[[#This Row],[President]]-BudgetApprop_Data[[#This Row],[FY 2019]])/BudgetApprop_Data[[#This Row],[FY 2019]]</f>
        <v>#VALUE!</v>
      </c>
      <c r="H150" s="21" t="s">
        <v>268</v>
      </c>
      <c r="I150" s="18" t="e">
        <f>(BudgetApprop_Data[[#This Row],[Latest House]]-BudgetApprop_Data[[#This Row],[FY 2019]])/BudgetApprop_Data[[#This Row],[FY 2019]]</f>
        <v>#VALUE!</v>
      </c>
      <c r="J150" s="19"/>
    </row>
    <row r="151" spans="1:10" x14ac:dyDescent="0.25">
      <c r="A151" s="26">
        <v>93.331000000000003</v>
      </c>
      <c r="B151" t="s">
        <v>72</v>
      </c>
      <c r="D151" t="s">
        <v>221</v>
      </c>
      <c r="E151" s="21" t="s">
        <v>268</v>
      </c>
      <c r="F151" s="21" t="s">
        <v>268</v>
      </c>
      <c r="G151" s="22" t="e">
        <f>(BudgetApprop_Data[[#This Row],[President]]-BudgetApprop_Data[[#This Row],[FY 2019]])/BudgetApprop_Data[[#This Row],[FY 2019]]</f>
        <v>#VALUE!</v>
      </c>
      <c r="H151" s="21" t="s">
        <v>268</v>
      </c>
      <c r="I151" s="22" t="e">
        <f>(BudgetApprop_Data[[#This Row],[Latest House]]-BudgetApprop_Data[[#This Row],[FY 2019]])/BudgetApprop_Data[[#This Row],[FY 2019]]</f>
        <v>#VALUE!</v>
      </c>
      <c r="J151" s="15"/>
    </row>
    <row r="152" spans="1:10" x14ac:dyDescent="0.25">
      <c r="A152" s="26">
        <v>93.352999999999994</v>
      </c>
      <c r="B152" t="s">
        <v>72</v>
      </c>
      <c r="D152" t="s">
        <v>222</v>
      </c>
      <c r="E152" s="21" t="s">
        <v>268</v>
      </c>
      <c r="F152" s="21" t="s">
        <v>268</v>
      </c>
      <c r="G152" s="22" t="e">
        <f>(BudgetApprop_Data[[#This Row],[President]]-BudgetApprop_Data[[#This Row],[FY 2019]])/BudgetApprop_Data[[#This Row],[FY 2019]]</f>
        <v>#VALUE!</v>
      </c>
      <c r="H152" s="21" t="s">
        <v>268</v>
      </c>
      <c r="I152" s="22" t="e">
        <f>(BudgetApprop_Data[[#This Row],[Latest House]]-BudgetApprop_Data[[#This Row],[FY 2019]])/BudgetApprop_Data[[#This Row],[FY 2019]]</f>
        <v>#VALUE!</v>
      </c>
      <c r="J152" s="15"/>
    </row>
    <row r="153" spans="1:10" x14ac:dyDescent="0.25">
      <c r="A153" s="26">
        <v>93.504999999999995</v>
      </c>
      <c r="B153" t="s">
        <v>72</v>
      </c>
      <c r="D153" t="s">
        <v>223</v>
      </c>
      <c r="E153" s="21" t="s">
        <v>268</v>
      </c>
      <c r="F153" s="21" t="s">
        <v>268</v>
      </c>
      <c r="G153" s="22" t="e">
        <f>(BudgetApprop_Data[[#This Row],[President]]-BudgetApprop_Data[[#This Row],[FY 2019]])/BudgetApprop_Data[[#This Row],[FY 2019]]</f>
        <v>#VALUE!</v>
      </c>
      <c r="H153" s="21" t="s">
        <v>268</v>
      </c>
      <c r="I153" s="22" t="e">
        <f>(BudgetApprop_Data[[#This Row],[Latest House]]-BudgetApprop_Data[[#This Row],[FY 2019]])/BudgetApprop_Data[[#This Row],[FY 2019]]</f>
        <v>#VALUE!</v>
      </c>
      <c r="J153" s="15"/>
    </row>
    <row r="154" spans="1:10" x14ac:dyDescent="0.25">
      <c r="A154" s="25">
        <v>93.521000000000001</v>
      </c>
      <c r="B154" t="s">
        <v>72</v>
      </c>
      <c r="C154" t="s">
        <v>269</v>
      </c>
      <c r="D154" t="s">
        <v>302</v>
      </c>
      <c r="E154" s="21">
        <v>40000</v>
      </c>
      <c r="F154" s="21" t="s">
        <v>271</v>
      </c>
      <c r="G154" s="18" t="e">
        <f>(BudgetApprop_Data[[#This Row],[President]]-BudgetApprop_Data[[#This Row],[FY 2019]])/BudgetApprop_Data[[#This Row],[FY 2019]]</f>
        <v>#VALUE!</v>
      </c>
      <c r="H154" s="21">
        <v>40000</v>
      </c>
      <c r="I154" s="18">
        <f>(BudgetApprop_Data[[#This Row],[Latest House]]-BudgetApprop_Data[[#This Row],[FY 2019]])/BudgetApprop_Data[[#This Row],[FY 2019]]</f>
        <v>0</v>
      </c>
      <c r="J154" s="19"/>
    </row>
    <row r="155" spans="1:10" x14ac:dyDescent="0.25">
      <c r="A155" s="26">
        <v>93.527000000000001</v>
      </c>
      <c r="B155" t="s">
        <v>72</v>
      </c>
      <c r="D155" t="s">
        <v>224</v>
      </c>
      <c r="E155" s="21" t="s">
        <v>268</v>
      </c>
      <c r="F155" s="21" t="s">
        <v>268</v>
      </c>
      <c r="G155" s="22" t="e">
        <f>(BudgetApprop_Data[[#This Row],[President]]-BudgetApprop_Data[[#This Row],[FY 2019]])/BudgetApprop_Data[[#This Row],[FY 2019]]</f>
        <v>#VALUE!</v>
      </c>
      <c r="H155" s="21" t="s">
        <v>268</v>
      </c>
      <c r="I155" s="22" t="e">
        <f>(BudgetApprop_Data[[#This Row],[Latest House]]-BudgetApprop_Data[[#This Row],[FY 2019]])/BudgetApprop_Data[[#This Row],[FY 2019]]</f>
        <v>#VALUE!</v>
      </c>
      <c r="J155" s="15"/>
    </row>
    <row r="156" spans="1:10" x14ac:dyDescent="0.25">
      <c r="A156" s="24">
        <v>93.539000000000001</v>
      </c>
      <c r="B156" t="s">
        <v>72</v>
      </c>
      <c r="D156" t="s">
        <v>398</v>
      </c>
      <c r="E156" s="21" t="s">
        <v>268</v>
      </c>
      <c r="F156" s="21" t="s">
        <v>268</v>
      </c>
      <c r="G156" s="18" t="e">
        <f>(BudgetApprop_Data[[#This Row],[President]]-BudgetApprop_Data[[#This Row],[FY 2019]])/BudgetApprop_Data[[#This Row],[FY 2019]]</f>
        <v>#VALUE!</v>
      </c>
      <c r="H156" s="21" t="s">
        <v>268</v>
      </c>
      <c r="I156" s="18" t="e">
        <f>(BudgetApprop_Data[[#This Row],[Latest House]]-BudgetApprop_Data[[#This Row],[FY 2019]])/BudgetApprop_Data[[#This Row],[FY 2019]]</f>
        <v>#VALUE!</v>
      </c>
      <c r="J156" s="19"/>
    </row>
    <row r="157" spans="1:10" x14ac:dyDescent="0.25">
      <c r="A157" s="25">
        <v>93.555999999999997</v>
      </c>
      <c r="B157" t="s">
        <v>75</v>
      </c>
      <c r="C157" t="s">
        <v>267</v>
      </c>
      <c r="D157" t="s">
        <v>225</v>
      </c>
      <c r="E157" s="17">
        <v>423000</v>
      </c>
      <c r="F157" s="17">
        <v>454000</v>
      </c>
      <c r="G157" s="18">
        <f>(BudgetApprop_Data[[#This Row],[President]]-BudgetApprop_Data[[#This Row],[FY 2019]])/BudgetApprop_Data[[#This Row],[FY 2019]]</f>
        <v>7.328605200945626E-2</v>
      </c>
      <c r="H157" s="17">
        <v>404000</v>
      </c>
      <c r="I157" s="18">
        <f>(BudgetApprop_Data[[#This Row],[Latest House]]-BudgetApprop_Data[[#This Row],[FY 2019]])/BudgetApprop_Data[[#This Row],[FY 2019]]</f>
        <v>-4.4917257683215132E-2</v>
      </c>
      <c r="J157" s="19"/>
    </row>
    <row r="158" spans="1:10" x14ac:dyDescent="0.25">
      <c r="A158" s="27">
        <v>93.558000000000007</v>
      </c>
      <c r="B158" t="s">
        <v>75</v>
      </c>
      <c r="C158" t="s">
        <v>267</v>
      </c>
      <c r="D158" t="s">
        <v>294</v>
      </c>
      <c r="E158" s="21">
        <v>16512000</v>
      </c>
      <c r="F158" s="21">
        <v>14909000</v>
      </c>
      <c r="G158" s="22">
        <f>(BudgetApprop_Data[[#This Row],[President]]-BudgetApprop_Data[[#This Row],[FY 2019]])/BudgetApprop_Data[[#This Row],[FY 2019]]</f>
        <v>-9.7080910852713184E-2</v>
      </c>
      <c r="H158" s="21" t="s">
        <v>226</v>
      </c>
      <c r="I158" s="22" t="e">
        <f>(BudgetApprop_Data[[#This Row],[Latest House]]-BudgetApprop_Data[[#This Row],[FY 2019]])/BudgetApprop_Data[[#This Row],[FY 2019]]</f>
        <v>#VALUE!</v>
      </c>
      <c r="J158" s="15"/>
    </row>
    <row r="159" spans="1:10" x14ac:dyDescent="0.25">
      <c r="A159" s="26">
        <v>93.563000000000002</v>
      </c>
      <c r="B159" t="s">
        <v>75</v>
      </c>
      <c r="C159" t="s">
        <v>267</v>
      </c>
      <c r="D159" t="s">
        <v>227</v>
      </c>
      <c r="E159" s="21">
        <v>4511000</v>
      </c>
      <c r="F159" s="21">
        <v>4497000</v>
      </c>
      <c r="G159" s="22">
        <f>(BudgetApprop_Data[[#This Row],[President]]-BudgetApprop_Data[[#This Row],[FY 2019]])/BudgetApprop_Data[[#This Row],[FY 2019]]</f>
        <v>-3.1035247173575703E-3</v>
      </c>
      <c r="H159" s="21">
        <v>4568000</v>
      </c>
      <c r="I159" s="22">
        <f>(BudgetApprop_Data[[#This Row],[Latest House]]-BudgetApprop_Data[[#This Row],[FY 2019]])/BudgetApprop_Data[[#This Row],[FY 2019]]</f>
        <v>1.2635779206384394E-2</v>
      </c>
      <c r="J159" s="15"/>
    </row>
    <row r="160" spans="1:10" x14ac:dyDescent="0.25">
      <c r="A160" s="24">
        <v>93.567999999999998</v>
      </c>
      <c r="B160" t="s">
        <v>75</v>
      </c>
      <c r="C160" t="s">
        <v>267</v>
      </c>
      <c r="D160" t="s">
        <v>289</v>
      </c>
      <c r="E160" s="17">
        <v>3690000</v>
      </c>
      <c r="F160" s="17">
        <v>0</v>
      </c>
      <c r="G160" s="18">
        <f>(BudgetApprop_Data[[#This Row],[President]]-BudgetApprop_Data[[#This Row],[FY 2019]])/BudgetApprop_Data[[#This Row],[FY 2019]]</f>
        <v>-1</v>
      </c>
      <c r="H160" s="17">
        <v>3840000</v>
      </c>
      <c r="I160" s="18">
        <f>(BudgetApprop_Data[[#This Row],[Latest House]]-BudgetApprop_Data[[#This Row],[FY 2019]])/BudgetApprop_Data[[#This Row],[FY 2019]]</f>
        <v>4.065040650406504E-2</v>
      </c>
      <c r="J160" s="19"/>
    </row>
    <row r="161" spans="1:10" x14ac:dyDescent="0.25">
      <c r="A161" s="26">
        <v>93.569000000000003</v>
      </c>
      <c r="B161" t="s">
        <v>75</v>
      </c>
      <c r="C161" t="s">
        <v>267</v>
      </c>
      <c r="D161" t="s">
        <v>280</v>
      </c>
      <c r="E161" s="21">
        <v>725000</v>
      </c>
      <c r="F161" s="21">
        <v>0</v>
      </c>
      <c r="G161" s="22">
        <f>(BudgetApprop_Data[[#This Row],[President]]-BudgetApprop_Data[[#This Row],[FY 2019]])/BudgetApprop_Data[[#This Row],[FY 2019]]</f>
        <v>-1</v>
      </c>
      <c r="H161" s="21">
        <v>760000</v>
      </c>
      <c r="I161" s="22">
        <f>(BudgetApprop_Data[[#This Row],[Latest House]]-BudgetApprop_Data[[#This Row],[FY 2019]])/BudgetApprop_Data[[#This Row],[FY 2019]]</f>
        <v>4.8275862068965517E-2</v>
      </c>
      <c r="J161" s="15"/>
    </row>
    <row r="162" spans="1:10" x14ac:dyDescent="0.25">
      <c r="A162" s="24">
        <v>93.57</v>
      </c>
      <c r="B162" t="s">
        <v>75</v>
      </c>
      <c r="C162" t="s">
        <v>269</v>
      </c>
      <c r="D162" t="s">
        <v>300</v>
      </c>
      <c r="E162" s="21">
        <v>28883</v>
      </c>
      <c r="F162" s="21">
        <v>0</v>
      </c>
      <c r="G162" s="18">
        <f>(BudgetApprop_Data[[#This Row],[President]]-BudgetApprop_Data[[#This Row],[FY 2019]])/BudgetApprop_Data[[#This Row],[FY 2019]]</f>
        <v>-1</v>
      </c>
      <c r="H162" s="21">
        <v>36000</v>
      </c>
      <c r="I162" s="18">
        <f>(BudgetApprop_Data[[#This Row],[Latest House]]-BudgetApprop_Data[[#This Row],[FY 2019]])/BudgetApprop_Data[[#This Row],[FY 2019]]</f>
        <v>0.24640792161479072</v>
      </c>
      <c r="J162" s="19"/>
    </row>
    <row r="163" spans="1:10" x14ac:dyDescent="0.25">
      <c r="A163" s="26">
        <v>93.575000000000003</v>
      </c>
      <c r="B163" t="s">
        <v>75</v>
      </c>
      <c r="C163" t="s">
        <v>267</v>
      </c>
      <c r="D163" t="s">
        <v>292</v>
      </c>
      <c r="E163" s="21">
        <v>5276000</v>
      </c>
      <c r="F163" s="21">
        <v>5276000</v>
      </c>
      <c r="G163" s="22">
        <f>(BudgetApprop_Data[[#This Row],[President]]-BudgetApprop_Data[[#This Row],[FY 2019]])/BudgetApprop_Data[[#This Row],[FY 2019]]</f>
        <v>0</v>
      </c>
      <c r="H163" s="21">
        <v>7676000</v>
      </c>
      <c r="I163" s="22">
        <f>(BudgetApprop_Data[[#This Row],[Latest House]]-BudgetApprop_Data[[#This Row],[FY 2019]])/BudgetApprop_Data[[#This Row],[FY 2019]]</f>
        <v>0.45489006823351025</v>
      </c>
      <c r="J163" s="15"/>
    </row>
    <row r="164" spans="1:10" x14ac:dyDescent="0.25">
      <c r="A164" s="24">
        <v>93.575999999999993</v>
      </c>
      <c r="B164" t="s">
        <v>75</v>
      </c>
      <c r="D164" t="s">
        <v>228</v>
      </c>
      <c r="E164" s="21" t="s">
        <v>268</v>
      </c>
      <c r="F164" s="21" t="s">
        <v>268</v>
      </c>
      <c r="G164" s="18" t="e">
        <f>(BudgetApprop_Data[[#This Row],[President]]-BudgetApprop_Data[[#This Row],[FY 2019]])/BudgetApprop_Data[[#This Row],[FY 2019]]</f>
        <v>#VALUE!</v>
      </c>
      <c r="H164" s="21" t="s">
        <v>268</v>
      </c>
      <c r="I164" s="18" t="e">
        <f>(BudgetApprop_Data[[#This Row],[Latest House]]-BudgetApprop_Data[[#This Row],[FY 2019]])/BudgetApprop_Data[[#This Row],[FY 2019]]</f>
        <v>#VALUE!</v>
      </c>
      <c r="J164" s="19"/>
    </row>
    <row r="165" spans="1:10" x14ac:dyDescent="0.25">
      <c r="A165" s="26">
        <v>93.59</v>
      </c>
      <c r="B165" t="s">
        <v>72</v>
      </c>
      <c r="C165" t="s">
        <v>269</v>
      </c>
      <c r="D165" t="s">
        <v>301</v>
      </c>
      <c r="E165" s="21">
        <v>39764</v>
      </c>
      <c r="F165" s="21">
        <v>39764</v>
      </c>
      <c r="G165" s="22">
        <f>(BudgetApprop_Data[[#This Row],[President]]-BudgetApprop_Data[[#This Row],[FY 2019]])/BudgetApprop_Data[[#This Row],[FY 2019]]</f>
        <v>0</v>
      </c>
      <c r="H165" s="21">
        <v>75000</v>
      </c>
      <c r="I165" s="22">
        <f>(BudgetApprop_Data[[#This Row],[Latest House]]-BudgetApprop_Data[[#This Row],[FY 2019]])/BudgetApprop_Data[[#This Row],[FY 2019]]</f>
        <v>0.88612815612111462</v>
      </c>
      <c r="J165" s="15"/>
    </row>
    <row r="166" spans="1:10" x14ac:dyDescent="0.25">
      <c r="A166" s="26">
        <v>93.6</v>
      </c>
      <c r="B166" t="s">
        <v>75</v>
      </c>
      <c r="C166" t="s">
        <v>267</v>
      </c>
      <c r="D166" t="s">
        <v>98</v>
      </c>
      <c r="E166" s="21">
        <v>10063000</v>
      </c>
      <c r="F166" s="21">
        <v>10063000</v>
      </c>
      <c r="G166" s="22">
        <f>(BudgetApprop_Data[[#This Row],[President]]-BudgetApprop_Data[[#This Row],[FY 2019]])/BudgetApprop_Data[[#This Row],[FY 2019]]</f>
        <v>0</v>
      </c>
      <c r="H166" s="21">
        <v>11563000</v>
      </c>
      <c r="I166" s="22">
        <f>(BudgetApprop_Data[[#This Row],[Latest House]]-BudgetApprop_Data[[#This Row],[FY 2019]])/BudgetApprop_Data[[#This Row],[FY 2019]]</f>
        <v>0.14906091622776507</v>
      </c>
      <c r="J166" s="15"/>
    </row>
    <row r="167" spans="1:10" x14ac:dyDescent="0.25">
      <c r="A167" s="24">
        <v>93.605000000000004</v>
      </c>
      <c r="B167" t="s">
        <v>75</v>
      </c>
      <c r="D167" t="s">
        <v>229</v>
      </c>
      <c r="E167" s="21" t="s">
        <v>268</v>
      </c>
      <c r="F167" s="21" t="s">
        <v>268</v>
      </c>
      <c r="G167" s="18" t="e">
        <f>(BudgetApprop_Data[[#This Row],[President]]-BudgetApprop_Data[[#This Row],[FY 2019]])/BudgetApprop_Data[[#This Row],[FY 2019]]</f>
        <v>#VALUE!</v>
      </c>
      <c r="H167" s="21" t="s">
        <v>268</v>
      </c>
      <c r="I167" s="18" t="e">
        <f>(BudgetApprop_Data[[#This Row],[Latest House]]-BudgetApprop_Data[[#This Row],[FY 2019]])/BudgetApprop_Data[[#This Row],[FY 2019]]</f>
        <v>#VALUE!</v>
      </c>
      <c r="J167" s="19"/>
    </row>
    <row r="168" spans="1:10" x14ac:dyDescent="0.25">
      <c r="A168" s="25">
        <v>93.61</v>
      </c>
      <c r="B168" t="s">
        <v>72</v>
      </c>
      <c r="D168" t="s">
        <v>399</v>
      </c>
      <c r="E168" s="21" t="s">
        <v>268</v>
      </c>
      <c r="F168" s="21" t="s">
        <v>268</v>
      </c>
      <c r="G168" s="18" t="e">
        <f>(BudgetApprop_Data[[#This Row],[President]]-BudgetApprop_Data[[#This Row],[FY 2019]])/BudgetApprop_Data[[#This Row],[FY 2019]]</f>
        <v>#VALUE!</v>
      </c>
      <c r="H168" s="21" t="s">
        <v>268</v>
      </c>
      <c r="I168" s="18" t="e">
        <f>(BudgetApprop_Data[[#This Row],[Latest House]]-BudgetApprop_Data[[#This Row],[FY 2019]])/BudgetApprop_Data[[#This Row],[FY 2019]]</f>
        <v>#VALUE!</v>
      </c>
      <c r="J168" s="19"/>
    </row>
    <row r="169" spans="1:10" x14ac:dyDescent="0.25">
      <c r="A169" s="24">
        <v>93.617000000000004</v>
      </c>
      <c r="B169" t="s">
        <v>72</v>
      </c>
      <c r="D169" t="e">
        <v>#N/A</v>
      </c>
      <c r="E169" s="21" t="s">
        <v>268</v>
      </c>
      <c r="F169" s="21" t="s">
        <v>268</v>
      </c>
      <c r="G169" s="18" t="e">
        <f>(BudgetApprop_Data[[#This Row],[President]]-BudgetApprop_Data[[#This Row],[FY 2019]])/BudgetApprop_Data[[#This Row],[FY 2019]]</f>
        <v>#VALUE!</v>
      </c>
      <c r="H169" s="21" t="s">
        <v>268</v>
      </c>
      <c r="I169" s="18" t="e">
        <f>(BudgetApprop_Data[[#This Row],[Latest House]]-BudgetApprop_Data[[#This Row],[FY 2019]])/BudgetApprop_Data[[#This Row],[FY 2019]]</f>
        <v>#VALUE!</v>
      </c>
      <c r="J169" s="19"/>
    </row>
    <row r="170" spans="1:10" x14ac:dyDescent="0.25">
      <c r="A170" s="26">
        <v>93.623000000000005</v>
      </c>
      <c r="B170" t="s">
        <v>72</v>
      </c>
      <c r="C170" t="s">
        <v>269</v>
      </c>
      <c r="D170" t="s">
        <v>305</v>
      </c>
      <c r="E170" s="21">
        <v>110280</v>
      </c>
      <c r="F170" s="21">
        <v>119121</v>
      </c>
      <c r="G170" s="22">
        <f>(BudgetApprop_Data[[#This Row],[President]]-BudgetApprop_Data[[#This Row],[FY 2019]])/BudgetApprop_Data[[#This Row],[FY 2019]]</f>
        <v>8.0168661588683354E-2</v>
      </c>
      <c r="H170" s="21">
        <v>125280</v>
      </c>
      <c r="I170" s="22">
        <f>(BudgetApprop_Data[[#This Row],[Latest House]]-BudgetApprop_Data[[#This Row],[FY 2019]])/BudgetApprop_Data[[#This Row],[FY 2019]]</f>
        <v>0.13601741022850924</v>
      </c>
      <c r="J170" s="15"/>
    </row>
    <row r="171" spans="1:10" x14ac:dyDescent="0.25">
      <c r="A171" s="25">
        <v>93.623999999999995</v>
      </c>
      <c r="B171" t="s">
        <v>72</v>
      </c>
      <c r="D171" t="s">
        <v>400</v>
      </c>
      <c r="E171" s="21" t="s">
        <v>268</v>
      </c>
      <c r="F171" s="21" t="s">
        <v>268</v>
      </c>
      <c r="G171" s="18" t="e">
        <f>(BudgetApprop_Data[[#This Row],[President]]-BudgetApprop_Data[[#This Row],[FY 2019]])/BudgetApprop_Data[[#This Row],[FY 2019]]</f>
        <v>#VALUE!</v>
      </c>
      <c r="H171" s="21" t="s">
        <v>268</v>
      </c>
      <c r="I171" s="18" t="e">
        <f>(BudgetApprop_Data[[#This Row],[Latest House]]-BudgetApprop_Data[[#This Row],[FY 2019]])/BudgetApprop_Data[[#This Row],[FY 2019]]</f>
        <v>#VALUE!</v>
      </c>
      <c r="J171" s="19"/>
    </row>
    <row r="172" spans="1:10" x14ac:dyDescent="0.25">
      <c r="A172" s="24">
        <v>93.638000000000005</v>
      </c>
      <c r="B172" t="s">
        <v>72</v>
      </c>
      <c r="D172" t="s">
        <v>401</v>
      </c>
      <c r="E172" s="21" t="s">
        <v>268</v>
      </c>
      <c r="F172" s="21" t="s">
        <v>268</v>
      </c>
      <c r="G172" s="18" t="e">
        <f>(BudgetApprop_Data[[#This Row],[President]]-BudgetApprop_Data[[#This Row],[FY 2019]])/BudgetApprop_Data[[#This Row],[FY 2019]]</f>
        <v>#VALUE!</v>
      </c>
      <c r="H172" s="21" t="s">
        <v>268</v>
      </c>
      <c r="I172" s="18" t="e">
        <f>(BudgetApprop_Data[[#This Row],[Latest House]]-BudgetApprop_Data[[#This Row],[FY 2019]])/BudgetApprop_Data[[#This Row],[FY 2019]]</f>
        <v>#VALUE!</v>
      </c>
      <c r="J172" s="19"/>
    </row>
    <row r="173" spans="1:10" x14ac:dyDescent="0.25">
      <c r="A173" s="25">
        <v>93.658000000000001</v>
      </c>
      <c r="B173" t="s">
        <v>75</v>
      </c>
      <c r="C173" t="s">
        <v>267</v>
      </c>
      <c r="D173" t="s">
        <v>291</v>
      </c>
      <c r="E173" s="17">
        <v>5117000</v>
      </c>
      <c r="F173" s="17">
        <v>5268000</v>
      </c>
      <c r="G173" s="18">
        <f>(BudgetApprop_Data[[#This Row],[President]]-BudgetApprop_Data[[#This Row],[FY 2019]])/BudgetApprop_Data[[#This Row],[FY 2019]]</f>
        <v>2.9509478209888605E-2</v>
      </c>
      <c r="H173" s="17">
        <v>5253000</v>
      </c>
      <c r="I173" s="18">
        <f>(BudgetApprop_Data[[#This Row],[Latest House]]-BudgetApprop_Data[[#This Row],[FY 2019]])/BudgetApprop_Data[[#This Row],[FY 2019]]</f>
        <v>2.6578073089700997E-2</v>
      </c>
      <c r="J173" s="19"/>
    </row>
    <row r="174" spans="1:10" x14ac:dyDescent="0.25">
      <c r="A174" s="24">
        <v>93.659000000000006</v>
      </c>
      <c r="B174" t="s">
        <v>75</v>
      </c>
      <c r="C174" t="s">
        <v>267</v>
      </c>
      <c r="D174" t="s">
        <v>230</v>
      </c>
      <c r="E174" s="17">
        <v>2842000</v>
      </c>
      <c r="F174" s="17">
        <v>2942000</v>
      </c>
      <c r="G174" s="18">
        <f>(BudgetApprop_Data[[#This Row],[President]]-BudgetApprop_Data[[#This Row],[FY 2019]])/BudgetApprop_Data[[#This Row],[FY 2019]]</f>
        <v>3.5186488388458829E-2</v>
      </c>
      <c r="H174" s="17">
        <v>2931000</v>
      </c>
      <c r="I174" s="18">
        <f>(BudgetApprop_Data[[#This Row],[Latest House]]-BudgetApprop_Data[[#This Row],[FY 2019]])/BudgetApprop_Data[[#This Row],[FY 2019]]</f>
        <v>3.1315974665728358E-2</v>
      </c>
      <c r="J174" s="19"/>
    </row>
    <row r="175" spans="1:10" x14ac:dyDescent="0.25">
      <c r="A175" s="26">
        <v>93.667000000000002</v>
      </c>
      <c r="B175" t="s">
        <v>75</v>
      </c>
      <c r="C175" t="s">
        <v>267</v>
      </c>
      <c r="D175" t="s">
        <v>286</v>
      </c>
      <c r="E175" s="21">
        <v>1595000</v>
      </c>
      <c r="F175" s="21">
        <v>0</v>
      </c>
      <c r="G175" s="22">
        <f>(BudgetApprop_Data[[#This Row],[President]]-BudgetApprop_Data[[#This Row],[FY 2019]])/BudgetApprop_Data[[#This Row],[FY 2019]]</f>
        <v>-1</v>
      </c>
      <c r="H175" s="21">
        <v>1600000</v>
      </c>
      <c r="I175" s="22">
        <f>(BudgetApprop_Data[[#This Row],[Latest House]]-BudgetApprop_Data[[#This Row],[FY 2019]])/BudgetApprop_Data[[#This Row],[FY 2019]]</f>
        <v>3.134796238244514E-3</v>
      </c>
      <c r="J175" s="15"/>
    </row>
    <row r="176" spans="1:10" x14ac:dyDescent="0.25">
      <c r="A176" s="24">
        <v>93.67</v>
      </c>
      <c r="B176" t="s">
        <v>72</v>
      </c>
      <c r="D176" t="s">
        <v>402</v>
      </c>
      <c r="E176" s="21" t="s">
        <v>268</v>
      </c>
      <c r="F176" s="21" t="s">
        <v>268</v>
      </c>
      <c r="G176" s="18" t="e">
        <f>(BudgetApprop_Data[[#This Row],[President]]-BudgetApprop_Data[[#This Row],[FY 2019]])/BudgetApprop_Data[[#This Row],[FY 2019]]</f>
        <v>#VALUE!</v>
      </c>
      <c r="H176" s="21" t="s">
        <v>268</v>
      </c>
      <c r="I176" s="18" t="e">
        <f>(BudgetApprop_Data[[#This Row],[Latest House]]-BudgetApprop_Data[[#This Row],[FY 2019]])/BudgetApprop_Data[[#This Row],[FY 2019]]</f>
        <v>#VALUE!</v>
      </c>
      <c r="J176" s="19"/>
    </row>
    <row r="177" spans="1:10" x14ac:dyDescent="0.25">
      <c r="A177" s="26">
        <v>93.671000000000006</v>
      </c>
      <c r="B177" t="s">
        <v>72</v>
      </c>
      <c r="C177" t="s">
        <v>269</v>
      </c>
      <c r="D177" t="s">
        <v>310</v>
      </c>
      <c r="E177" s="21">
        <v>164500</v>
      </c>
      <c r="F177" s="21">
        <v>164500</v>
      </c>
      <c r="G177" s="22">
        <f>(BudgetApprop_Data[[#This Row],[President]]-BudgetApprop_Data[[#This Row],[FY 2019]])/BudgetApprop_Data[[#This Row],[FY 2019]]</f>
        <v>0</v>
      </c>
      <c r="H177" s="21">
        <v>175000</v>
      </c>
      <c r="I177" s="22">
        <f>(BudgetApprop_Data[[#This Row],[Latest House]]-BudgetApprop_Data[[#This Row],[FY 2019]])/BudgetApprop_Data[[#This Row],[FY 2019]]</f>
        <v>6.3829787234042548E-2</v>
      </c>
      <c r="J177" s="15"/>
    </row>
    <row r="178" spans="1:10" x14ac:dyDescent="0.25">
      <c r="A178" s="25">
        <v>93.674000000000007</v>
      </c>
      <c r="B178" t="s">
        <v>75</v>
      </c>
      <c r="D178" t="s">
        <v>320</v>
      </c>
      <c r="E178" s="21" t="s">
        <v>268</v>
      </c>
      <c r="F178" s="21" t="s">
        <v>268</v>
      </c>
      <c r="G178" s="18" t="e">
        <f>(BudgetApprop_Data[[#This Row],[President]]-BudgetApprop_Data[[#This Row],[FY 2019]])/BudgetApprop_Data[[#This Row],[FY 2019]]</f>
        <v>#VALUE!</v>
      </c>
      <c r="H178" s="21" t="s">
        <v>268</v>
      </c>
      <c r="I178" s="18" t="e">
        <f>(BudgetApprop_Data[[#This Row],[Latest House]]-BudgetApprop_Data[[#This Row],[FY 2019]])/BudgetApprop_Data[[#This Row],[FY 2019]]</f>
        <v>#VALUE!</v>
      </c>
      <c r="J178" s="19"/>
    </row>
    <row r="179" spans="1:10" x14ac:dyDescent="0.25">
      <c r="A179" s="26">
        <v>93.676000000000002</v>
      </c>
      <c r="B179" t="s">
        <v>72</v>
      </c>
      <c r="C179" t="s">
        <v>269</v>
      </c>
      <c r="D179" t="s">
        <v>231</v>
      </c>
      <c r="E179" s="21">
        <v>1303245</v>
      </c>
      <c r="F179" s="21">
        <v>1303245</v>
      </c>
      <c r="G179" s="22">
        <f>(BudgetApprop_Data[[#This Row],[President]]-BudgetApprop_Data[[#This Row],[FY 2019]])/BudgetApprop_Data[[#This Row],[FY 2019]]</f>
        <v>0</v>
      </c>
      <c r="H179" s="21">
        <v>1803245</v>
      </c>
      <c r="I179" s="22">
        <f>(BudgetApprop_Data[[#This Row],[Latest House]]-BudgetApprop_Data[[#This Row],[FY 2019]])/BudgetApprop_Data[[#This Row],[FY 2019]]</f>
        <v>0.38365771593215398</v>
      </c>
      <c r="J179" s="15"/>
    </row>
    <row r="180" spans="1:10" x14ac:dyDescent="0.25">
      <c r="A180" s="24">
        <v>93.733000000000004</v>
      </c>
      <c r="B180" t="s">
        <v>72</v>
      </c>
      <c r="D180" t="s">
        <v>403</v>
      </c>
      <c r="E180" s="21" t="s">
        <v>268</v>
      </c>
      <c r="F180" s="21" t="s">
        <v>268</v>
      </c>
      <c r="G180" s="18" t="e">
        <f>(BudgetApprop_Data[[#This Row],[President]]-BudgetApprop_Data[[#This Row],[FY 2019]])/BudgetApprop_Data[[#This Row],[FY 2019]]</f>
        <v>#VALUE!</v>
      </c>
      <c r="H180" s="21" t="s">
        <v>268</v>
      </c>
      <c r="I180" s="18" t="e">
        <f>(BudgetApprop_Data[[#This Row],[Latest House]]-BudgetApprop_Data[[#This Row],[FY 2019]])/BudgetApprop_Data[[#This Row],[FY 2019]]</f>
        <v>#VALUE!</v>
      </c>
      <c r="J180" s="19"/>
    </row>
    <row r="181" spans="1:10" x14ac:dyDescent="0.25">
      <c r="A181" s="25">
        <v>93.753</v>
      </c>
      <c r="B181" t="s">
        <v>72</v>
      </c>
      <c r="D181" t="s">
        <v>404</v>
      </c>
      <c r="E181" s="21" t="s">
        <v>268</v>
      </c>
      <c r="F181" s="21" t="s">
        <v>268</v>
      </c>
      <c r="G181" s="18" t="e">
        <f>(BudgetApprop_Data[[#This Row],[President]]-BudgetApprop_Data[[#This Row],[FY 2019]])/BudgetApprop_Data[[#This Row],[FY 2019]]</f>
        <v>#VALUE!</v>
      </c>
      <c r="H181" s="21" t="s">
        <v>268</v>
      </c>
      <c r="I181" s="18" t="e">
        <f>(BudgetApprop_Data[[#This Row],[Latest House]]-BudgetApprop_Data[[#This Row],[FY 2019]])/BudgetApprop_Data[[#This Row],[FY 2019]]</f>
        <v>#VALUE!</v>
      </c>
      <c r="J181" s="19"/>
    </row>
    <row r="182" spans="1:10" x14ac:dyDescent="0.25">
      <c r="A182" s="24">
        <v>93.757000000000005</v>
      </c>
      <c r="B182" t="s">
        <v>72</v>
      </c>
      <c r="D182" t="s">
        <v>405</v>
      </c>
      <c r="E182" s="21" t="s">
        <v>268</v>
      </c>
      <c r="F182" s="21" t="s">
        <v>268</v>
      </c>
      <c r="G182" s="18" t="e">
        <f>(BudgetApprop_Data[[#This Row],[President]]-BudgetApprop_Data[[#This Row],[FY 2019]])/BudgetApprop_Data[[#This Row],[FY 2019]]</f>
        <v>#VALUE!</v>
      </c>
      <c r="H182" s="21" t="s">
        <v>268</v>
      </c>
      <c r="I182" s="18" t="e">
        <f>(BudgetApprop_Data[[#This Row],[Latest House]]-BudgetApprop_Data[[#This Row],[FY 2019]])/BudgetApprop_Data[[#This Row],[FY 2019]]</f>
        <v>#VALUE!</v>
      </c>
      <c r="J182" s="19"/>
    </row>
    <row r="183" spans="1:10" x14ac:dyDescent="0.25">
      <c r="A183" s="26">
        <v>93.766999999999996</v>
      </c>
      <c r="B183" t="s">
        <v>72</v>
      </c>
      <c r="C183" t="s">
        <v>267</v>
      </c>
      <c r="D183" t="s">
        <v>232</v>
      </c>
      <c r="E183" s="21">
        <v>17881000</v>
      </c>
      <c r="F183" s="21">
        <v>18366000</v>
      </c>
      <c r="G183" s="22">
        <f>(BudgetApprop_Data[[#This Row],[President]]-BudgetApprop_Data[[#This Row],[FY 2019]])/BudgetApprop_Data[[#This Row],[FY 2019]]</f>
        <v>2.7123762653095466E-2</v>
      </c>
      <c r="H183" s="21">
        <v>18366000</v>
      </c>
      <c r="I183" s="22">
        <f>(BudgetApprop_Data[[#This Row],[Latest House]]-BudgetApprop_Data[[#This Row],[FY 2019]])/BudgetApprop_Data[[#This Row],[FY 2019]]</f>
        <v>2.7123762653095466E-2</v>
      </c>
      <c r="J183" s="15"/>
    </row>
    <row r="184" spans="1:10" x14ac:dyDescent="0.25">
      <c r="A184" s="26">
        <v>93.778000000000006</v>
      </c>
      <c r="B184" t="s">
        <v>75</v>
      </c>
      <c r="C184" t="s">
        <v>267</v>
      </c>
      <c r="D184" t="s">
        <v>297</v>
      </c>
      <c r="E184" s="21">
        <v>420268000</v>
      </c>
      <c r="F184" s="21">
        <v>431009000</v>
      </c>
      <c r="G184" s="22">
        <f>(BudgetApprop_Data[[#This Row],[President]]-BudgetApprop_Data[[#This Row],[FY 2019]])/BudgetApprop_Data[[#This Row],[FY 2019]]</f>
        <v>2.5557501403866104E-2</v>
      </c>
      <c r="H184" s="21">
        <v>438844000</v>
      </c>
      <c r="I184" s="22">
        <f>(BudgetApprop_Data[[#This Row],[Latest House]]-BudgetApprop_Data[[#This Row],[FY 2019]])/BudgetApprop_Data[[#This Row],[FY 2019]]</f>
        <v>4.4200367384621242E-2</v>
      </c>
      <c r="J184" s="15"/>
    </row>
    <row r="185" spans="1:10" x14ac:dyDescent="0.25">
      <c r="A185" s="24">
        <v>93.778999999999996</v>
      </c>
      <c r="B185" t="s">
        <v>75</v>
      </c>
      <c r="D185" t="s">
        <v>318</v>
      </c>
      <c r="E185" s="21" t="s">
        <v>268</v>
      </c>
      <c r="F185" s="21" t="s">
        <v>268</v>
      </c>
      <c r="G185" s="18" t="e">
        <f>(BudgetApprop_Data[[#This Row],[President]]-BudgetApprop_Data[[#This Row],[FY 2019]])/BudgetApprop_Data[[#This Row],[FY 2019]]</f>
        <v>#VALUE!</v>
      </c>
      <c r="H185" s="21" t="s">
        <v>268</v>
      </c>
      <c r="I185" s="18" t="e">
        <f>(BudgetApprop_Data[[#This Row],[Latest House]]-BudgetApprop_Data[[#This Row],[FY 2019]])/BudgetApprop_Data[[#This Row],[FY 2019]]</f>
        <v>#VALUE!</v>
      </c>
      <c r="J185" s="19"/>
    </row>
    <row r="186" spans="1:10" x14ac:dyDescent="0.25">
      <c r="A186" s="25">
        <v>93.814999999999998</v>
      </c>
      <c r="B186" t="s">
        <v>72</v>
      </c>
      <c r="D186" t="s">
        <v>406</v>
      </c>
      <c r="E186" s="21" t="s">
        <v>268</v>
      </c>
      <c r="F186" s="21" t="s">
        <v>268</v>
      </c>
      <c r="G186" s="18" t="e">
        <f>(BudgetApprop_Data[[#This Row],[President]]-BudgetApprop_Data[[#This Row],[FY 2019]])/BudgetApprop_Data[[#This Row],[FY 2019]]</f>
        <v>#VALUE!</v>
      </c>
      <c r="H186" s="21" t="s">
        <v>268</v>
      </c>
      <c r="I186" s="18" t="e">
        <f>(BudgetApprop_Data[[#This Row],[Latest House]]-BudgetApprop_Data[[#This Row],[FY 2019]])/BudgetApprop_Data[[#This Row],[FY 2019]]</f>
        <v>#VALUE!</v>
      </c>
      <c r="J186" s="19"/>
    </row>
    <row r="187" spans="1:10" x14ac:dyDescent="0.25">
      <c r="A187" s="24">
        <v>93.816999999999993</v>
      </c>
      <c r="B187" t="s">
        <v>72</v>
      </c>
      <c r="D187" t="s">
        <v>407</v>
      </c>
      <c r="E187" s="21" t="s">
        <v>268</v>
      </c>
      <c r="F187" s="21" t="s">
        <v>268</v>
      </c>
      <c r="G187" s="18" t="e">
        <f>(BudgetApprop_Data[[#This Row],[President]]-BudgetApprop_Data[[#This Row],[FY 2019]])/BudgetApprop_Data[[#This Row],[FY 2019]]</f>
        <v>#VALUE!</v>
      </c>
      <c r="H187" s="21" t="s">
        <v>268</v>
      </c>
      <c r="I187" s="18" t="e">
        <f>(BudgetApprop_Data[[#This Row],[Latest House]]-BudgetApprop_Data[[#This Row],[FY 2019]])/BudgetApprop_Data[[#This Row],[FY 2019]]</f>
        <v>#VALUE!</v>
      </c>
      <c r="J187" s="19"/>
    </row>
    <row r="188" spans="1:10" x14ac:dyDescent="0.25">
      <c r="A188" s="25">
        <v>93.846999999999994</v>
      </c>
      <c r="B188" t="s">
        <v>72</v>
      </c>
      <c r="D188" t="s">
        <v>408</v>
      </c>
      <c r="E188" s="21" t="s">
        <v>268</v>
      </c>
      <c r="F188" s="21" t="s">
        <v>268</v>
      </c>
      <c r="G188" s="18" t="e">
        <f>(BudgetApprop_Data[[#This Row],[President]]-BudgetApprop_Data[[#This Row],[FY 2019]])/BudgetApprop_Data[[#This Row],[FY 2019]]</f>
        <v>#VALUE!</v>
      </c>
      <c r="H188" s="21" t="s">
        <v>268</v>
      </c>
      <c r="I188" s="18" t="e">
        <f>(BudgetApprop_Data[[#This Row],[Latest House]]-BudgetApprop_Data[[#This Row],[FY 2019]])/BudgetApprop_Data[[#This Row],[FY 2019]]</f>
        <v>#VALUE!</v>
      </c>
      <c r="J188" s="19"/>
    </row>
    <row r="189" spans="1:10" x14ac:dyDescent="0.25">
      <c r="A189" s="24">
        <v>93.855000000000004</v>
      </c>
      <c r="B189" t="s">
        <v>72</v>
      </c>
      <c r="D189" t="s">
        <v>409</v>
      </c>
      <c r="E189" s="21" t="s">
        <v>268</v>
      </c>
      <c r="F189" s="21" t="s">
        <v>268</v>
      </c>
      <c r="G189" s="18" t="e">
        <f>(BudgetApprop_Data[[#This Row],[President]]-BudgetApprop_Data[[#This Row],[FY 2019]])/BudgetApprop_Data[[#This Row],[FY 2019]]</f>
        <v>#VALUE!</v>
      </c>
      <c r="H189" s="21" t="s">
        <v>268</v>
      </c>
      <c r="I189" s="18" t="e">
        <f>(BudgetApprop_Data[[#This Row],[Latest House]]-BudgetApprop_Data[[#This Row],[FY 2019]])/BudgetApprop_Data[[#This Row],[FY 2019]]</f>
        <v>#VALUE!</v>
      </c>
      <c r="J189" s="19"/>
    </row>
    <row r="190" spans="1:10" x14ac:dyDescent="0.25">
      <c r="A190" s="26">
        <v>93.866</v>
      </c>
      <c r="B190" t="s">
        <v>72</v>
      </c>
      <c r="D190" t="s">
        <v>233</v>
      </c>
      <c r="E190" s="21" t="s">
        <v>268</v>
      </c>
      <c r="F190" s="21" t="s">
        <v>268</v>
      </c>
      <c r="G190" s="22" t="e">
        <f>(BudgetApprop_Data[[#This Row],[President]]-BudgetApprop_Data[[#This Row],[FY 2019]])/BudgetApprop_Data[[#This Row],[FY 2019]]</f>
        <v>#VALUE!</v>
      </c>
      <c r="H190" s="21" t="s">
        <v>268</v>
      </c>
      <c r="I190" s="22" t="e">
        <f>(BudgetApprop_Data[[#This Row],[Latest House]]-BudgetApprop_Data[[#This Row],[FY 2019]])/BudgetApprop_Data[[#This Row],[FY 2019]]</f>
        <v>#VALUE!</v>
      </c>
      <c r="J190" s="15"/>
    </row>
    <row r="191" spans="1:10" x14ac:dyDescent="0.25">
      <c r="A191" s="26">
        <v>93.87</v>
      </c>
      <c r="B191" t="s">
        <v>72</v>
      </c>
      <c r="D191" t="s">
        <v>234</v>
      </c>
      <c r="E191" s="21" t="s">
        <v>268</v>
      </c>
      <c r="F191" s="21" t="s">
        <v>268</v>
      </c>
      <c r="G191" s="22" t="e">
        <f>(BudgetApprop_Data[[#This Row],[President]]-BudgetApprop_Data[[#This Row],[FY 2019]])/BudgetApprop_Data[[#This Row],[FY 2019]]</f>
        <v>#VALUE!</v>
      </c>
      <c r="H191" s="21" t="s">
        <v>268</v>
      </c>
      <c r="I191" s="22" t="e">
        <f>(BudgetApprop_Data[[#This Row],[Latest House]]-BudgetApprop_Data[[#This Row],[FY 2019]])/BudgetApprop_Data[[#This Row],[FY 2019]]</f>
        <v>#VALUE!</v>
      </c>
      <c r="J191" s="15"/>
    </row>
    <row r="192" spans="1:10" x14ac:dyDescent="0.25">
      <c r="A192" s="27">
        <v>93.914000000000001</v>
      </c>
      <c r="B192" t="s">
        <v>72</v>
      </c>
      <c r="C192" t="s">
        <v>269</v>
      </c>
      <c r="D192" t="s">
        <v>235</v>
      </c>
      <c r="E192" s="21">
        <v>655876</v>
      </c>
      <c r="F192" s="21">
        <v>655876</v>
      </c>
      <c r="G192" s="22">
        <f>(BudgetApprop_Data[[#This Row],[President]]-BudgetApprop_Data[[#This Row],[FY 2019]])/BudgetApprop_Data[[#This Row],[FY 2019]]</f>
        <v>0</v>
      </c>
      <c r="H192" s="21">
        <v>677535</v>
      </c>
      <c r="I192" s="22">
        <f>(BudgetApprop_Data[[#This Row],[Latest House]]-BudgetApprop_Data[[#This Row],[FY 2019]])/BudgetApprop_Data[[#This Row],[FY 2019]]</f>
        <v>3.3023010447096705E-2</v>
      </c>
      <c r="J192" s="15"/>
    </row>
    <row r="193" spans="1:10" x14ac:dyDescent="0.25">
      <c r="A193" s="27">
        <v>93.917000000000002</v>
      </c>
      <c r="B193" t="s">
        <v>72</v>
      </c>
      <c r="C193" t="s">
        <v>269</v>
      </c>
      <c r="D193" t="s">
        <v>236</v>
      </c>
      <c r="E193" s="21">
        <v>1315005</v>
      </c>
      <c r="F193" s="21">
        <v>1315005</v>
      </c>
      <c r="G193" s="22">
        <f>(BudgetApprop_Data[[#This Row],[President]]-BudgetApprop_Data[[#This Row],[FY 2019]])/BudgetApprop_Data[[#This Row],[FY 2019]]</f>
        <v>0</v>
      </c>
      <c r="H193" s="21">
        <v>1331665</v>
      </c>
      <c r="I193" s="22">
        <f>(BudgetApprop_Data[[#This Row],[Latest House]]-BudgetApprop_Data[[#This Row],[FY 2019]])/BudgetApprop_Data[[#This Row],[FY 2019]]</f>
        <v>1.266915334922681E-2</v>
      </c>
      <c r="J193" s="15"/>
    </row>
    <row r="194" spans="1:10" x14ac:dyDescent="0.25">
      <c r="A194" s="26">
        <v>93.924000000000007</v>
      </c>
      <c r="B194" t="s">
        <v>72</v>
      </c>
      <c r="D194" t="s">
        <v>237</v>
      </c>
      <c r="E194" s="21" t="s">
        <v>268</v>
      </c>
      <c r="F194" s="21" t="s">
        <v>268</v>
      </c>
      <c r="G194" s="22" t="e">
        <f>(BudgetApprop_Data[[#This Row],[President]]-BudgetApprop_Data[[#This Row],[FY 2019]])/BudgetApprop_Data[[#This Row],[FY 2019]]</f>
        <v>#VALUE!</v>
      </c>
      <c r="H194" s="21" t="s">
        <v>268</v>
      </c>
      <c r="I194" s="22" t="e">
        <f>(BudgetApprop_Data[[#This Row],[Latest House]]-BudgetApprop_Data[[#This Row],[FY 2019]])/BudgetApprop_Data[[#This Row],[FY 2019]]</f>
        <v>#VALUE!</v>
      </c>
      <c r="J194" s="15"/>
    </row>
    <row r="195" spans="1:10" x14ac:dyDescent="0.25">
      <c r="A195" s="26">
        <v>93.926000000000002</v>
      </c>
      <c r="B195" t="s">
        <v>72</v>
      </c>
      <c r="C195" t="s">
        <v>269</v>
      </c>
      <c r="D195" t="s">
        <v>306</v>
      </c>
      <c r="E195" s="21">
        <v>122500</v>
      </c>
      <c r="F195" s="21">
        <v>122500</v>
      </c>
      <c r="G195" s="22">
        <f>(BudgetApprop_Data[[#This Row],[President]]-BudgetApprop_Data[[#This Row],[FY 2019]])/BudgetApprop_Data[[#This Row],[FY 2019]]</f>
        <v>0</v>
      </c>
      <c r="H195" s="21">
        <v>130500</v>
      </c>
      <c r="I195" s="22">
        <f>(BudgetApprop_Data[[#This Row],[Latest House]]-BudgetApprop_Data[[#This Row],[FY 2019]])/BudgetApprop_Data[[#This Row],[FY 2019]]</f>
        <v>6.5306122448979598E-2</v>
      </c>
      <c r="J195" s="15"/>
    </row>
    <row r="196" spans="1:10" x14ac:dyDescent="0.25">
      <c r="A196" s="25">
        <v>93.927999999999997</v>
      </c>
      <c r="B196" t="s">
        <v>72</v>
      </c>
      <c r="D196" t="s">
        <v>410</v>
      </c>
      <c r="E196" s="21" t="s">
        <v>268</v>
      </c>
      <c r="F196" s="21" t="s">
        <v>268</v>
      </c>
      <c r="G196" s="18" t="e">
        <f>(BudgetApprop_Data[[#This Row],[President]]-BudgetApprop_Data[[#This Row],[FY 2019]])/BudgetApprop_Data[[#This Row],[FY 2019]]</f>
        <v>#VALUE!</v>
      </c>
      <c r="H196" s="21" t="s">
        <v>268</v>
      </c>
      <c r="I196" s="18" t="e">
        <f>(BudgetApprop_Data[[#This Row],[Latest House]]-BudgetApprop_Data[[#This Row],[FY 2019]])/BudgetApprop_Data[[#This Row],[FY 2019]]</f>
        <v>#VALUE!</v>
      </c>
      <c r="J196" s="19"/>
    </row>
    <row r="197" spans="1:10" x14ac:dyDescent="0.25">
      <c r="A197" s="26">
        <v>93.938999999999993</v>
      </c>
      <c r="B197" t="s">
        <v>72</v>
      </c>
      <c r="D197" t="s">
        <v>238</v>
      </c>
      <c r="E197" s="21" t="s">
        <v>268</v>
      </c>
      <c r="F197" s="21" t="s">
        <v>268</v>
      </c>
      <c r="G197" s="22" t="e">
        <f>(BudgetApprop_Data[[#This Row],[President]]-BudgetApprop_Data[[#This Row],[FY 2019]])/BudgetApprop_Data[[#This Row],[FY 2019]]</f>
        <v>#VALUE!</v>
      </c>
      <c r="H197" s="21" t="s">
        <v>268</v>
      </c>
      <c r="I197" s="22" t="e">
        <f>(BudgetApprop_Data[[#This Row],[Latest House]]-BudgetApprop_Data[[#This Row],[FY 2019]])/BudgetApprop_Data[[#This Row],[FY 2019]]</f>
        <v>#VALUE!</v>
      </c>
      <c r="J197" s="15"/>
    </row>
    <row r="198" spans="1:10" x14ac:dyDescent="0.25">
      <c r="A198" s="25">
        <v>93.94</v>
      </c>
      <c r="B198" t="s">
        <v>72</v>
      </c>
      <c r="C198" t="s">
        <v>269</v>
      </c>
      <c r="D198" t="s">
        <v>313</v>
      </c>
      <c r="E198" s="21">
        <v>397161</v>
      </c>
      <c r="F198" s="21" t="s">
        <v>270</v>
      </c>
      <c r="G198" s="18" t="e">
        <f>(BudgetApprop_Data[[#This Row],[President]]-BudgetApprop_Data[[#This Row],[FY 2019]])/BudgetApprop_Data[[#This Row],[FY 2019]]</f>
        <v>#VALUE!</v>
      </c>
      <c r="H198" s="21" t="s">
        <v>270</v>
      </c>
      <c r="I198" s="18" t="e">
        <f>(BudgetApprop_Data[[#This Row],[Latest House]]-BudgetApprop_Data[[#This Row],[FY 2019]])/BudgetApprop_Data[[#This Row],[FY 2019]]</f>
        <v>#VALUE!</v>
      </c>
      <c r="J198" s="19"/>
    </row>
    <row r="199" spans="1:10" x14ac:dyDescent="0.25">
      <c r="A199" s="24">
        <v>93.944000000000003</v>
      </c>
      <c r="B199" t="s">
        <v>72</v>
      </c>
      <c r="D199" t="s">
        <v>411</v>
      </c>
      <c r="E199" s="21" t="s">
        <v>268</v>
      </c>
      <c r="F199" s="21" t="s">
        <v>268</v>
      </c>
      <c r="G199" s="18" t="e">
        <f>(BudgetApprop_Data[[#This Row],[President]]-BudgetApprop_Data[[#This Row],[FY 2019]])/BudgetApprop_Data[[#This Row],[FY 2019]]</f>
        <v>#VALUE!</v>
      </c>
      <c r="H199" s="21" t="s">
        <v>268</v>
      </c>
      <c r="I199" s="18" t="e">
        <f>(BudgetApprop_Data[[#This Row],[Latest House]]-BudgetApprop_Data[[#This Row],[FY 2019]])/BudgetApprop_Data[[#This Row],[FY 2019]]</f>
        <v>#VALUE!</v>
      </c>
      <c r="J199" s="19"/>
    </row>
    <row r="200" spans="1:10" x14ac:dyDescent="0.25">
      <c r="A200" s="25">
        <v>93.945999999999998</v>
      </c>
      <c r="B200" t="s">
        <v>72</v>
      </c>
      <c r="D200" t="s">
        <v>412</v>
      </c>
      <c r="E200" s="21" t="s">
        <v>268</v>
      </c>
      <c r="F200" s="21" t="s">
        <v>268</v>
      </c>
      <c r="G200" s="18" t="e">
        <f>(BudgetApprop_Data[[#This Row],[President]]-BudgetApprop_Data[[#This Row],[FY 2019]])/BudgetApprop_Data[[#This Row],[FY 2019]]</f>
        <v>#VALUE!</v>
      </c>
      <c r="H200" s="21" t="s">
        <v>268</v>
      </c>
      <c r="I200" s="18" t="e">
        <f>(BudgetApprop_Data[[#This Row],[Latest House]]-BudgetApprop_Data[[#This Row],[FY 2019]])/BudgetApprop_Data[[#This Row],[FY 2019]]</f>
        <v>#VALUE!</v>
      </c>
      <c r="J200" s="19"/>
    </row>
    <row r="201" spans="1:10" x14ac:dyDescent="0.25">
      <c r="A201" s="26">
        <v>93.957999999999998</v>
      </c>
      <c r="B201" t="s">
        <v>72</v>
      </c>
      <c r="C201" t="s">
        <v>267</v>
      </c>
      <c r="D201" t="s">
        <v>239</v>
      </c>
      <c r="E201" s="21">
        <v>723000</v>
      </c>
      <c r="F201" s="21">
        <v>723000</v>
      </c>
      <c r="G201" s="22">
        <f>(BudgetApprop_Data[[#This Row],[President]]-BudgetApprop_Data[[#This Row],[FY 2019]])/BudgetApprop_Data[[#This Row],[FY 2019]]</f>
        <v>0</v>
      </c>
      <c r="H201" s="21">
        <v>758000</v>
      </c>
      <c r="I201" s="22">
        <f>(BudgetApprop_Data[[#This Row],[Latest House]]-BudgetApprop_Data[[#This Row],[FY 2019]])/BudgetApprop_Data[[#This Row],[FY 2019]]</f>
        <v>4.8409405255878286E-2</v>
      </c>
      <c r="J201" s="15"/>
    </row>
    <row r="202" spans="1:10" x14ac:dyDescent="0.25">
      <c r="A202" s="26">
        <v>93.959000000000003</v>
      </c>
      <c r="B202" t="s">
        <v>72</v>
      </c>
      <c r="C202" t="s">
        <v>267</v>
      </c>
      <c r="D202" t="s">
        <v>240</v>
      </c>
      <c r="E202" s="21">
        <v>1858000</v>
      </c>
      <c r="F202" s="21">
        <v>1858000</v>
      </c>
      <c r="G202" s="22">
        <f>(BudgetApprop_Data[[#This Row],[President]]-BudgetApprop_Data[[#This Row],[FY 2019]])/BudgetApprop_Data[[#This Row],[FY 2019]]</f>
        <v>0</v>
      </c>
      <c r="H202" s="21">
        <v>1858000</v>
      </c>
      <c r="I202" s="22">
        <f>(BudgetApprop_Data[[#This Row],[Latest House]]-BudgetApprop_Data[[#This Row],[FY 2019]])/BudgetApprop_Data[[#This Row],[FY 2019]]</f>
        <v>0</v>
      </c>
      <c r="J202" s="15"/>
    </row>
    <row r="203" spans="1:10" x14ac:dyDescent="0.25">
      <c r="A203" s="24">
        <v>93.977000000000004</v>
      </c>
      <c r="B203" t="s">
        <v>72</v>
      </c>
      <c r="C203" t="s">
        <v>269</v>
      </c>
      <c r="D203" t="s">
        <v>308</v>
      </c>
      <c r="E203" s="21">
        <v>157310</v>
      </c>
      <c r="F203" s="21">
        <v>157310</v>
      </c>
      <c r="G203" s="18">
        <f>(BudgetApprop_Data[[#This Row],[President]]-BudgetApprop_Data[[#This Row],[FY 2019]])/BudgetApprop_Data[[#This Row],[FY 2019]]</f>
        <v>0</v>
      </c>
      <c r="H203" s="21">
        <v>167310</v>
      </c>
      <c r="I203" s="18">
        <f>(BudgetApprop_Data[[#This Row],[Latest House]]-BudgetApprop_Data[[#This Row],[FY 2019]])/BudgetApprop_Data[[#This Row],[FY 2019]]</f>
        <v>6.3568749602695318E-2</v>
      </c>
      <c r="J203" s="19"/>
    </row>
    <row r="204" spans="1:10" x14ac:dyDescent="0.25">
      <c r="A204" s="25">
        <v>93.991</v>
      </c>
      <c r="B204" t="s">
        <v>72</v>
      </c>
      <c r="D204" t="s">
        <v>413</v>
      </c>
      <c r="E204" s="21" t="s">
        <v>268</v>
      </c>
      <c r="F204" s="21" t="s">
        <v>268</v>
      </c>
      <c r="G204" s="18" t="e">
        <f>(BudgetApprop_Data[[#This Row],[President]]-BudgetApprop_Data[[#This Row],[FY 2019]])/BudgetApprop_Data[[#This Row],[FY 2019]]</f>
        <v>#VALUE!</v>
      </c>
      <c r="H204" s="21" t="s">
        <v>268</v>
      </c>
      <c r="I204" s="18" t="e">
        <f>(BudgetApprop_Data[[#This Row],[Latest House]]-BudgetApprop_Data[[#This Row],[FY 2019]])/BudgetApprop_Data[[#This Row],[FY 2019]]</f>
        <v>#VALUE!</v>
      </c>
      <c r="J204" s="19"/>
    </row>
    <row r="205" spans="1:10" x14ac:dyDescent="0.25">
      <c r="A205" s="26">
        <v>93.994</v>
      </c>
      <c r="B205" t="s">
        <v>72</v>
      </c>
      <c r="C205" t="s">
        <v>267</v>
      </c>
      <c r="D205" t="s">
        <v>241</v>
      </c>
      <c r="E205" s="21">
        <v>678000</v>
      </c>
      <c r="F205" s="21">
        <v>661000</v>
      </c>
      <c r="G205" s="22">
        <f>(BudgetApprop_Data[[#This Row],[President]]-BudgetApprop_Data[[#This Row],[FY 2019]])/BudgetApprop_Data[[#This Row],[FY 2019]]</f>
        <v>-2.5073746312684365E-2</v>
      </c>
      <c r="H205" s="21">
        <v>705000</v>
      </c>
      <c r="I205" s="22">
        <f>(BudgetApprop_Data[[#This Row],[Latest House]]-BudgetApprop_Data[[#This Row],[FY 2019]])/BudgetApprop_Data[[#This Row],[FY 2019]]</f>
        <v>3.9823008849557522E-2</v>
      </c>
      <c r="J205" s="15"/>
    </row>
    <row r="206" spans="1:10" x14ac:dyDescent="0.25">
      <c r="A206" s="26">
        <v>94.006</v>
      </c>
      <c r="B206" t="s">
        <v>72</v>
      </c>
      <c r="D206" t="s">
        <v>242</v>
      </c>
      <c r="E206" s="21" t="s">
        <v>268</v>
      </c>
      <c r="F206" s="21" t="s">
        <v>268</v>
      </c>
      <c r="G206" s="22" t="e">
        <f>(BudgetApprop_Data[[#This Row],[President]]-BudgetApprop_Data[[#This Row],[FY 2019]])/BudgetApprop_Data[[#This Row],[FY 2019]]</f>
        <v>#VALUE!</v>
      </c>
      <c r="H206" s="21" t="s">
        <v>268</v>
      </c>
      <c r="I206" s="22" t="e">
        <f>(BudgetApprop_Data[[#This Row],[Latest House]]-BudgetApprop_Data[[#This Row],[FY 2019]])/BudgetApprop_Data[[#This Row],[FY 2019]]</f>
        <v>#VALUE!</v>
      </c>
      <c r="J206" s="15"/>
    </row>
    <row r="207" spans="1:10" x14ac:dyDescent="0.25">
      <c r="A207" s="25">
        <v>94.010999999999996</v>
      </c>
      <c r="B207" t="s">
        <v>75</v>
      </c>
      <c r="D207" t="s">
        <v>316</v>
      </c>
      <c r="E207" s="21" t="s">
        <v>268</v>
      </c>
      <c r="F207" s="21" t="s">
        <v>268</v>
      </c>
      <c r="G207" s="18" t="e">
        <f>(BudgetApprop_Data[[#This Row],[President]]-BudgetApprop_Data[[#This Row],[FY 2019]])/BudgetApprop_Data[[#This Row],[FY 2019]]</f>
        <v>#VALUE!</v>
      </c>
      <c r="H207" s="21" t="s">
        <v>268</v>
      </c>
      <c r="I207" s="18" t="e">
        <f>(BudgetApprop_Data[[#This Row],[Latest House]]-BudgetApprop_Data[[#This Row],[FY 2019]])/BudgetApprop_Data[[#This Row],[FY 2019]]</f>
        <v>#VALUE!</v>
      </c>
      <c r="J207" s="19"/>
    </row>
    <row r="208" spans="1:10" x14ac:dyDescent="0.25">
      <c r="A208" s="26">
        <v>94.016000000000005</v>
      </c>
      <c r="B208" t="s">
        <v>72</v>
      </c>
      <c r="D208" t="s">
        <v>243</v>
      </c>
      <c r="E208" s="21" t="s">
        <v>268</v>
      </c>
      <c r="F208" s="21" t="s">
        <v>268</v>
      </c>
      <c r="G208" s="22" t="e">
        <f>(BudgetApprop_Data[[#This Row],[President]]-BudgetApprop_Data[[#This Row],[FY 2019]])/BudgetApprop_Data[[#This Row],[FY 2019]]</f>
        <v>#VALUE!</v>
      </c>
      <c r="H208" s="21" t="s">
        <v>268</v>
      </c>
      <c r="I208" s="22" t="e">
        <f>(BudgetApprop_Data[[#This Row],[Latest House]]-BudgetApprop_Data[[#This Row],[FY 2019]])/BudgetApprop_Data[[#This Row],[FY 2019]]</f>
        <v>#VALUE!</v>
      </c>
      <c r="J208" s="15"/>
    </row>
    <row r="209" spans="1:10" x14ac:dyDescent="0.25">
      <c r="A209" s="26">
        <v>94.019000000000005</v>
      </c>
      <c r="B209" t="s">
        <v>72</v>
      </c>
      <c r="D209" t="s">
        <v>244</v>
      </c>
      <c r="E209" s="21" t="s">
        <v>268</v>
      </c>
      <c r="F209" s="21" t="s">
        <v>268</v>
      </c>
      <c r="G209" s="22" t="e">
        <f>(BudgetApprop_Data[[#This Row],[President]]-BudgetApprop_Data[[#This Row],[FY 2019]])/BudgetApprop_Data[[#This Row],[FY 2019]]</f>
        <v>#VALUE!</v>
      </c>
      <c r="H209" s="21" t="s">
        <v>268</v>
      </c>
      <c r="I209" s="22" t="e">
        <f>(BudgetApprop_Data[[#This Row],[Latest House]]-BudgetApprop_Data[[#This Row],[FY 2019]])/BudgetApprop_Data[[#This Row],[FY 2019]]</f>
        <v>#VALUE!</v>
      </c>
      <c r="J209" s="15"/>
    </row>
    <row r="210" spans="1:10" x14ac:dyDescent="0.25">
      <c r="A210" s="24">
        <v>96.006</v>
      </c>
      <c r="B210" t="s">
        <v>72</v>
      </c>
      <c r="D210" t="s">
        <v>414</v>
      </c>
      <c r="E210" s="21" t="s">
        <v>268</v>
      </c>
      <c r="F210" s="21" t="s">
        <v>268</v>
      </c>
      <c r="G210" s="18" t="e">
        <f>(BudgetApprop_Data[[#This Row],[President]]-BudgetApprop_Data[[#This Row],[FY 2019]])/BudgetApprop_Data[[#This Row],[FY 2019]]</f>
        <v>#VALUE!</v>
      </c>
      <c r="H210" s="21" t="s">
        <v>268</v>
      </c>
      <c r="I210" s="18" t="e">
        <f>(BudgetApprop_Data[[#This Row],[Latest House]]-BudgetApprop_Data[[#This Row],[FY 2019]])/BudgetApprop_Data[[#This Row],[FY 2019]]</f>
        <v>#VALUE!</v>
      </c>
      <c r="J210" s="19"/>
    </row>
    <row r="211" spans="1:10" x14ac:dyDescent="0.25">
      <c r="A211" s="26">
        <v>97.024000000000001</v>
      </c>
      <c r="B211" t="s">
        <v>72</v>
      </c>
      <c r="C211" t="s">
        <v>267</v>
      </c>
      <c r="D211" t="s">
        <v>245</v>
      </c>
      <c r="E211" s="21">
        <v>120000</v>
      </c>
      <c r="F211" s="21">
        <v>0</v>
      </c>
      <c r="G211" s="22">
        <f>(BudgetApprop_Data[[#This Row],[President]]-BudgetApprop_Data[[#This Row],[FY 2019]])/BudgetApprop_Data[[#This Row],[FY 2019]]</f>
        <v>-1</v>
      </c>
      <c r="H211" s="21">
        <v>130000</v>
      </c>
      <c r="I211" s="22">
        <f>(BudgetApprop_Data[[#This Row],[Latest House]]-BudgetApprop_Data[[#This Row],[FY 2019]])/BudgetApprop_Data[[#This Row],[FY 2019]]</f>
        <v>8.3333333333333329E-2</v>
      </c>
      <c r="J211" s="15"/>
    </row>
    <row r="212" spans="1:10" x14ac:dyDescent="0.25">
      <c r="A212" s="24">
        <v>97.025000000000006</v>
      </c>
      <c r="B212" t="s">
        <v>72</v>
      </c>
      <c r="D212" t="s">
        <v>415</v>
      </c>
      <c r="E212" s="21" t="s">
        <v>268</v>
      </c>
      <c r="F212" s="21" t="s">
        <v>268</v>
      </c>
      <c r="G212" s="18" t="e">
        <f>(BudgetApprop_Data[[#This Row],[President]]-BudgetApprop_Data[[#This Row],[FY 2019]])/BudgetApprop_Data[[#This Row],[FY 2019]]</f>
        <v>#VALUE!</v>
      </c>
      <c r="H212" s="21" t="s">
        <v>268</v>
      </c>
      <c r="I212" s="18" t="e">
        <f>(BudgetApprop_Data[[#This Row],[Latest House]]-BudgetApprop_Data[[#This Row],[FY 2019]])/BudgetApprop_Data[[#This Row],[FY 2019]]</f>
        <v>#VALUE!</v>
      </c>
      <c r="J212" s="19"/>
    </row>
    <row r="213" spans="1:10" x14ac:dyDescent="0.25">
      <c r="A213" s="25">
        <v>97.036000000000001</v>
      </c>
      <c r="B213" t="s">
        <v>72</v>
      </c>
      <c r="D213" t="s">
        <v>416</v>
      </c>
      <c r="E213" s="21" t="s">
        <v>268</v>
      </c>
      <c r="F213" s="21" t="s">
        <v>268</v>
      </c>
      <c r="G213" s="18" t="e">
        <f>(BudgetApprop_Data[[#This Row],[President]]-BudgetApprop_Data[[#This Row],[FY 2019]])/BudgetApprop_Data[[#This Row],[FY 2019]]</f>
        <v>#VALUE!</v>
      </c>
      <c r="H213" s="21" t="s">
        <v>268</v>
      </c>
      <c r="I213" s="18" t="e">
        <f>(BudgetApprop_Data[[#This Row],[Latest House]]-BudgetApprop_Data[[#This Row],[FY 2019]])/BudgetApprop_Data[[#This Row],[FY 2019]]</f>
        <v>#VALUE!</v>
      </c>
      <c r="J213" s="19"/>
    </row>
    <row r="214" spans="1:10" x14ac:dyDescent="0.25">
      <c r="A214" s="24">
        <v>97.039000000000001</v>
      </c>
      <c r="B214" t="s">
        <v>72</v>
      </c>
      <c r="D214" t="s">
        <v>417</v>
      </c>
      <c r="E214" s="21" t="s">
        <v>268</v>
      </c>
      <c r="F214" s="21" t="s">
        <v>268</v>
      </c>
      <c r="G214" s="18" t="e">
        <f>(BudgetApprop_Data[[#This Row],[President]]-BudgetApprop_Data[[#This Row],[FY 2019]])/BudgetApprop_Data[[#This Row],[FY 2019]]</f>
        <v>#VALUE!</v>
      </c>
      <c r="H214" s="21" t="s">
        <v>268</v>
      </c>
      <c r="I214" s="18" t="e">
        <f>(BudgetApprop_Data[[#This Row],[Latest House]]-BudgetApprop_Data[[#This Row],[FY 2019]])/BudgetApprop_Data[[#This Row],[FY 2019]]</f>
        <v>#VALUE!</v>
      </c>
      <c r="J214" s="19"/>
    </row>
    <row r="215" spans="1:10" x14ac:dyDescent="0.25">
      <c r="A215" s="25">
        <v>97.042000000000002</v>
      </c>
      <c r="B215" t="s">
        <v>72</v>
      </c>
      <c r="C215" t="s">
        <v>267</v>
      </c>
      <c r="D215" t="s">
        <v>277</v>
      </c>
      <c r="E215" s="17">
        <v>350000</v>
      </c>
      <c r="F215" s="17">
        <v>279000</v>
      </c>
      <c r="G215" s="18">
        <f>(BudgetApprop_Data[[#This Row],[President]]-BudgetApprop_Data[[#This Row],[FY 2019]])/BudgetApprop_Data[[#This Row],[FY 2019]]</f>
        <v>-0.20285714285714285</v>
      </c>
      <c r="H215" s="17">
        <v>375000</v>
      </c>
      <c r="I215" s="18">
        <f>(BudgetApprop_Data[[#This Row],[Latest House]]-BudgetApprop_Data[[#This Row],[FY 2019]])/BudgetApprop_Data[[#This Row],[FY 2019]]</f>
        <v>7.1428571428571425E-2</v>
      </c>
      <c r="J215" s="19"/>
    </row>
    <row r="216" spans="1:10" x14ac:dyDescent="0.25">
      <c r="A216" s="24">
        <v>97.043999999999997</v>
      </c>
      <c r="B216" t="s">
        <v>72</v>
      </c>
      <c r="D216" t="s">
        <v>418</v>
      </c>
      <c r="E216" s="21" t="s">
        <v>268</v>
      </c>
      <c r="F216" s="21" t="s">
        <v>268</v>
      </c>
      <c r="G216" s="18" t="e">
        <f>(BudgetApprop_Data[[#This Row],[President]]-BudgetApprop_Data[[#This Row],[FY 2019]])/BudgetApprop_Data[[#This Row],[FY 2019]]</f>
        <v>#VALUE!</v>
      </c>
      <c r="H216" s="21" t="s">
        <v>268</v>
      </c>
      <c r="I216" s="18" t="e">
        <f>(BudgetApprop_Data[[#This Row],[Latest House]]-BudgetApprop_Data[[#This Row],[FY 2019]])/BudgetApprop_Data[[#This Row],[FY 2019]]</f>
        <v>#VALUE!</v>
      </c>
      <c r="J216" s="19"/>
    </row>
    <row r="217" spans="1:10" x14ac:dyDescent="0.25">
      <c r="A217" s="25">
        <v>97.045000000000002</v>
      </c>
      <c r="B217" t="s">
        <v>72</v>
      </c>
      <c r="D217" t="s">
        <v>419</v>
      </c>
      <c r="E217" s="21" t="s">
        <v>268</v>
      </c>
      <c r="F217" s="21" t="s">
        <v>268</v>
      </c>
      <c r="G217" s="18" t="e">
        <f>(BudgetApprop_Data[[#This Row],[President]]-BudgetApprop_Data[[#This Row],[FY 2019]])/BudgetApprop_Data[[#This Row],[FY 2019]]</f>
        <v>#VALUE!</v>
      </c>
      <c r="H217" s="21" t="s">
        <v>268</v>
      </c>
      <c r="I217" s="18" t="e">
        <f>(BudgetApprop_Data[[#This Row],[Latest House]]-BudgetApprop_Data[[#This Row],[FY 2019]])/BudgetApprop_Data[[#This Row],[FY 2019]]</f>
        <v>#VALUE!</v>
      </c>
      <c r="J217" s="19"/>
    </row>
    <row r="218" spans="1:10" x14ac:dyDescent="0.25">
      <c r="A218" s="24">
        <v>97.046999999999997</v>
      </c>
      <c r="B218" t="s">
        <v>72</v>
      </c>
      <c r="D218" t="s">
        <v>420</v>
      </c>
      <c r="E218" s="21" t="s">
        <v>268</v>
      </c>
      <c r="F218" s="21" t="s">
        <v>268</v>
      </c>
      <c r="G218" s="18" t="e">
        <f>(BudgetApprop_Data[[#This Row],[President]]-BudgetApprop_Data[[#This Row],[FY 2019]])/BudgetApprop_Data[[#This Row],[FY 2019]]</f>
        <v>#VALUE!</v>
      </c>
      <c r="H218" s="21" t="s">
        <v>268</v>
      </c>
      <c r="I218" s="18" t="e">
        <f>(BudgetApprop_Data[[#This Row],[Latest House]]-BudgetApprop_Data[[#This Row],[FY 2019]])/BudgetApprop_Data[[#This Row],[FY 2019]]</f>
        <v>#VALUE!</v>
      </c>
      <c r="J218" s="19"/>
    </row>
    <row r="219" spans="1:10" x14ac:dyDescent="0.25">
      <c r="A219" s="25">
        <v>97.055999999999997</v>
      </c>
      <c r="B219" t="s">
        <v>72</v>
      </c>
      <c r="D219" t="s">
        <v>421</v>
      </c>
      <c r="E219" s="21" t="s">
        <v>268</v>
      </c>
      <c r="F219" s="21" t="s">
        <v>268</v>
      </c>
      <c r="G219" s="18" t="e">
        <f>(BudgetApprop_Data[[#This Row],[President]]-BudgetApprop_Data[[#This Row],[FY 2019]])/BudgetApprop_Data[[#This Row],[FY 2019]]</f>
        <v>#VALUE!</v>
      </c>
      <c r="H219" s="21" t="s">
        <v>268</v>
      </c>
      <c r="I219" s="18" t="e">
        <f>(BudgetApprop_Data[[#This Row],[Latest House]]-BudgetApprop_Data[[#This Row],[FY 2019]])/BudgetApprop_Data[[#This Row],[FY 2019]]</f>
        <v>#VALUE!</v>
      </c>
      <c r="J219" s="19"/>
    </row>
    <row r="220" spans="1:10" x14ac:dyDescent="0.25">
      <c r="A220" s="24">
        <v>97.064999999999998</v>
      </c>
      <c r="B220" t="s">
        <v>72</v>
      </c>
      <c r="D220" t="e">
        <v>#N/A</v>
      </c>
      <c r="E220" s="21" t="s">
        <v>268</v>
      </c>
      <c r="F220" s="21" t="s">
        <v>268</v>
      </c>
      <c r="G220" s="18" t="e">
        <f>(BudgetApprop_Data[[#This Row],[President]]-BudgetApprop_Data[[#This Row],[FY 2019]])/BudgetApprop_Data[[#This Row],[FY 2019]]</f>
        <v>#VALUE!</v>
      </c>
      <c r="H220" s="21" t="s">
        <v>268</v>
      </c>
      <c r="I220" s="18" t="e">
        <f>(BudgetApprop_Data[[#This Row],[Latest House]]-BudgetApprop_Data[[#This Row],[FY 2019]])/BudgetApprop_Data[[#This Row],[FY 2019]]</f>
        <v>#VALUE!</v>
      </c>
      <c r="J220" s="19"/>
    </row>
    <row r="221" spans="1:10" x14ac:dyDescent="0.25">
      <c r="A221" s="25">
        <v>97.066999999999993</v>
      </c>
      <c r="B221" t="s">
        <v>72</v>
      </c>
      <c r="C221" t="s">
        <v>267</v>
      </c>
      <c r="D221" t="s">
        <v>279</v>
      </c>
      <c r="E221" s="17">
        <v>425000</v>
      </c>
      <c r="F221" s="17">
        <v>332000</v>
      </c>
      <c r="G221" s="18">
        <f>(BudgetApprop_Data[[#This Row],[President]]-BudgetApprop_Data[[#This Row],[FY 2019]])/BudgetApprop_Data[[#This Row],[FY 2019]]</f>
        <v>-0.21882352941176469</v>
      </c>
      <c r="H221" s="17">
        <v>480000</v>
      </c>
      <c r="I221" s="18">
        <f>(BudgetApprop_Data[[#This Row],[Latest House]]-BudgetApprop_Data[[#This Row],[FY 2019]])/BudgetApprop_Data[[#This Row],[FY 2019]]</f>
        <v>0.12941176470588237</v>
      </c>
      <c r="J221" s="19"/>
    </row>
    <row r="222" spans="1:10" x14ac:dyDescent="0.25">
      <c r="A222" s="24">
        <v>97.075000000000003</v>
      </c>
      <c r="B222" t="s">
        <v>72</v>
      </c>
      <c r="D222" t="s">
        <v>422</v>
      </c>
      <c r="E222" s="21" t="s">
        <v>268</v>
      </c>
      <c r="F222" s="21" t="s">
        <v>268</v>
      </c>
      <c r="G222" s="18" t="e">
        <f>(BudgetApprop_Data[[#This Row],[President]]-BudgetApprop_Data[[#This Row],[FY 2019]])/BudgetApprop_Data[[#This Row],[FY 2019]]</f>
        <v>#VALUE!</v>
      </c>
      <c r="H222" s="21" t="s">
        <v>268</v>
      </c>
      <c r="I222" s="18" t="e">
        <f>(BudgetApprop_Data[[#This Row],[Latest House]]-BudgetApprop_Data[[#This Row],[FY 2019]])/BudgetApprop_Data[[#This Row],[FY 2019]]</f>
        <v>#VALUE!</v>
      </c>
      <c r="J222" s="19"/>
    </row>
    <row r="223" spans="1:10" x14ac:dyDescent="0.25">
      <c r="A223" s="25">
        <v>97.090999999999994</v>
      </c>
      <c r="B223" t="s">
        <v>72</v>
      </c>
      <c r="D223" t="s">
        <v>423</v>
      </c>
      <c r="E223" s="21" t="s">
        <v>268</v>
      </c>
      <c r="F223" s="21" t="s">
        <v>268</v>
      </c>
      <c r="G223" s="18" t="e">
        <f>(BudgetApprop_Data[[#This Row],[President]]-BudgetApprop_Data[[#This Row],[FY 2019]])/BudgetApprop_Data[[#This Row],[FY 2019]]</f>
        <v>#VALUE!</v>
      </c>
      <c r="H223" s="21" t="s">
        <v>268</v>
      </c>
      <c r="I223" s="18" t="e">
        <f>(BudgetApprop_Data[[#This Row],[Latest House]]-BudgetApprop_Data[[#This Row],[FY 2019]])/BudgetApprop_Data[[#This Row],[FY 2019]]</f>
        <v>#VALUE!</v>
      </c>
      <c r="J223" s="19"/>
    </row>
    <row r="224" spans="1:10" x14ac:dyDescent="0.25">
      <c r="A224" s="24">
        <v>97.105999999999995</v>
      </c>
      <c r="B224" t="s">
        <v>72</v>
      </c>
      <c r="D224" t="s">
        <v>424</v>
      </c>
      <c r="E224" s="21" t="s">
        <v>268</v>
      </c>
      <c r="F224" s="21" t="s">
        <v>268</v>
      </c>
      <c r="G224" s="18" t="e">
        <f>(BudgetApprop_Data[[#This Row],[President]]-BudgetApprop_Data[[#This Row],[FY 2019]])/BudgetApprop_Data[[#This Row],[FY 2019]]</f>
        <v>#VALUE!</v>
      </c>
      <c r="H224" s="21" t="s">
        <v>268</v>
      </c>
      <c r="I224" s="18" t="e">
        <f>(BudgetApprop_Data[[#This Row],[Latest House]]-BudgetApprop_Data[[#This Row],[FY 2019]])/BudgetApprop_Data[[#This Row],[FY 2019]]</f>
        <v>#VALUE!</v>
      </c>
      <c r="J224" s="19"/>
    </row>
    <row r="225" spans="1:10" x14ac:dyDescent="0.25">
      <c r="A225" s="25">
        <v>97.108000000000004</v>
      </c>
      <c r="B225" t="s">
        <v>72</v>
      </c>
      <c r="D225" t="s">
        <v>425</v>
      </c>
      <c r="E225" s="21" t="s">
        <v>268</v>
      </c>
      <c r="F225" s="21" t="s">
        <v>268</v>
      </c>
      <c r="G225" s="18" t="e">
        <f>(BudgetApprop_Data[[#This Row],[President]]-BudgetApprop_Data[[#This Row],[FY 2019]])/BudgetApprop_Data[[#This Row],[FY 2019]]</f>
        <v>#VALUE!</v>
      </c>
      <c r="H225" s="21" t="s">
        <v>268</v>
      </c>
      <c r="I225" s="18" t="e">
        <f>(BudgetApprop_Data[[#This Row],[Latest House]]-BudgetApprop_Data[[#This Row],[FY 2019]])/BudgetApprop_Data[[#This Row],[FY 2019]]</f>
        <v>#VALUE!</v>
      </c>
      <c r="J225" s="19"/>
    </row>
    <row r="226" spans="1:10" x14ac:dyDescent="0.25">
      <c r="A226" s="24">
        <v>97.111000000000004</v>
      </c>
      <c r="B226" t="s">
        <v>72</v>
      </c>
      <c r="D226" t="s">
        <v>426</v>
      </c>
      <c r="E226" s="21" t="s">
        <v>268</v>
      </c>
      <c r="F226" s="21" t="s">
        <v>268</v>
      </c>
      <c r="G226" s="18" t="e">
        <f>(BudgetApprop_Data[[#This Row],[President]]-BudgetApprop_Data[[#This Row],[FY 2019]])/BudgetApprop_Data[[#This Row],[FY 2019]]</f>
        <v>#VALUE!</v>
      </c>
      <c r="H226" s="21" t="s">
        <v>268</v>
      </c>
      <c r="I226" s="18" t="e">
        <f>(BudgetApprop_Data[[#This Row],[Latest House]]-BudgetApprop_Data[[#This Row],[FY 2019]])/BudgetApprop_Data[[#This Row],[FY 2019]]</f>
        <v>#VALUE!</v>
      </c>
      <c r="J226" s="19"/>
    </row>
    <row r="227" spans="1:10" x14ac:dyDescent="0.25">
      <c r="A227" s="25">
        <v>97.134</v>
      </c>
      <c r="B227" t="s">
        <v>72</v>
      </c>
      <c r="D227" t="s">
        <v>427</v>
      </c>
      <c r="E227" s="21" t="s">
        <v>268</v>
      </c>
      <c r="F227" s="21" t="s">
        <v>268</v>
      </c>
      <c r="G227" s="18" t="e">
        <f>(BudgetApprop_Data[[#This Row],[President]]-BudgetApprop_Data[[#This Row],[FY 2019]])/BudgetApprop_Data[[#This Row],[FY 2019]]</f>
        <v>#VALUE!</v>
      </c>
      <c r="H227" s="21" t="s">
        <v>268</v>
      </c>
      <c r="I227" s="18" t="e">
        <f>(BudgetApprop_Data[[#This Row],[Latest House]]-BudgetApprop_Data[[#This Row],[FY 2019]])/BudgetApprop_Data[[#This Row],[FY 2019]]</f>
        <v>#VALUE!</v>
      </c>
      <c r="J227" s="19"/>
    </row>
    <row r="228" spans="1:10" x14ac:dyDescent="0.25">
      <c r="A228" s="24">
        <v>99.888000000000005</v>
      </c>
      <c r="B228" t="s">
        <v>72</v>
      </c>
      <c r="D228" t="e">
        <v>#N/A</v>
      </c>
      <c r="E228" s="21" t="s">
        <v>268</v>
      </c>
      <c r="F228" s="21" t="s">
        <v>268</v>
      </c>
      <c r="G228" s="18" t="e">
        <f>(BudgetApprop_Data[[#This Row],[President]]-BudgetApprop_Data[[#This Row],[FY 2019]])/BudgetApprop_Data[[#This Row],[FY 2019]]</f>
        <v>#VALUE!</v>
      </c>
      <c r="H228" s="21" t="s">
        <v>268</v>
      </c>
      <c r="I228" s="18" t="e">
        <f>(BudgetApprop_Data[[#This Row],[Latest House]]-BudgetApprop_Data[[#This Row],[FY 2019]])/BudgetApprop_Data[[#This Row],[FY 2019]]</f>
        <v>#VALUE!</v>
      </c>
      <c r="J228" s="19"/>
    </row>
    <row r="229" spans="1:10" x14ac:dyDescent="0.25">
      <c r="A229" s="24">
        <v>216.75</v>
      </c>
      <c r="B229" t="s">
        <v>72</v>
      </c>
      <c r="D229" t="e">
        <v>#N/A</v>
      </c>
      <c r="E229" s="21" t="s">
        <v>268</v>
      </c>
      <c r="F229" s="21" t="s">
        <v>268</v>
      </c>
      <c r="G229" s="18" t="e">
        <f>(BudgetApprop_Data[[#This Row],[President]]-BudgetApprop_Data[[#This Row],[FY 2019]])/BudgetApprop_Data[[#This Row],[FY 2019]]</f>
        <v>#VALUE!</v>
      </c>
      <c r="H229" s="21" t="s">
        <v>268</v>
      </c>
      <c r="I229" s="18" t="e">
        <f>(BudgetApprop_Data[[#This Row],[Latest House]]-BudgetApprop_Data[[#This Row],[FY 2019]])/BudgetApprop_Data[[#This Row],[FY 2019]]</f>
        <v>#VALUE!</v>
      </c>
      <c r="J229" s="19"/>
    </row>
    <row r="230" spans="1:10" x14ac:dyDescent="0.25">
      <c r="A230" s="25" t="s">
        <v>246</v>
      </c>
      <c r="B230" t="s">
        <v>72</v>
      </c>
      <c r="D230" t="e">
        <v>#N/A</v>
      </c>
      <c r="E230" s="21" t="s">
        <v>268</v>
      </c>
      <c r="F230" s="21" t="s">
        <v>268</v>
      </c>
      <c r="G230" s="18" t="e">
        <f>(BudgetApprop_Data[[#This Row],[President]]-BudgetApprop_Data[[#This Row],[FY 2019]])/BudgetApprop_Data[[#This Row],[FY 2019]]</f>
        <v>#VALUE!</v>
      </c>
      <c r="H230" s="21" t="s">
        <v>268</v>
      </c>
      <c r="I230" s="18" t="e">
        <f>(BudgetApprop_Data[[#This Row],[Latest House]]-BudgetApprop_Data[[#This Row],[FY 2019]])/BudgetApprop_Data[[#This Row],[FY 2019]]</f>
        <v>#VALUE!</v>
      </c>
      <c r="J230" s="19"/>
    </row>
    <row r="231" spans="1:10" x14ac:dyDescent="0.25">
      <c r="A231" s="24" t="s">
        <v>247</v>
      </c>
      <c r="B231" t="s">
        <v>72</v>
      </c>
      <c r="D231" t="e">
        <v>#N/A</v>
      </c>
      <c r="E231" s="21" t="s">
        <v>268</v>
      </c>
      <c r="F231" s="21" t="s">
        <v>268</v>
      </c>
      <c r="G231" s="18" t="e">
        <f>(BudgetApprop_Data[[#This Row],[President]]-BudgetApprop_Data[[#This Row],[FY 2019]])/BudgetApprop_Data[[#This Row],[FY 2019]]</f>
        <v>#VALUE!</v>
      </c>
      <c r="H231" s="21" t="s">
        <v>268</v>
      </c>
      <c r="I231" s="18" t="e">
        <f>(BudgetApprop_Data[[#This Row],[Latest House]]-BudgetApprop_Data[[#This Row],[FY 2019]])/BudgetApprop_Data[[#This Row],[FY 2019]]</f>
        <v>#VALUE!</v>
      </c>
      <c r="J231" s="19"/>
    </row>
    <row r="232" spans="1:10" x14ac:dyDescent="0.25">
      <c r="A232" s="26" t="s">
        <v>170</v>
      </c>
      <c r="B232" t="s">
        <v>72</v>
      </c>
      <c r="D232" t="e">
        <v>#N/A</v>
      </c>
      <c r="E232" s="21" t="s">
        <v>268</v>
      </c>
      <c r="F232" s="21" t="s">
        <v>268</v>
      </c>
      <c r="G232" s="22" t="e">
        <f>(BudgetApprop_Data[[#This Row],[President]]-BudgetApprop_Data[[#This Row],[FY 2019]])/BudgetApprop_Data[[#This Row],[FY 2019]]</f>
        <v>#VALUE!</v>
      </c>
      <c r="H232" s="21" t="s">
        <v>268</v>
      </c>
      <c r="I232" s="22" t="e">
        <f>(BudgetApprop_Data[[#This Row],[Latest House]]-BudgetApprop_Data[[#This Row],[FY 2019]])/BudgetApprop_Data[[#This Row],[FY 2019]]</f>
        <v>#VALUE!</v>
      </c>
      <c r="J232" s="15"/>
    </row>
    <row r="233" spans="1:10" x14ac:dyDescent="0.25">
      <c r="A233" s="29"/>
      <c r="B233" s="30"/>
      <c r="D233" s="31"/>
      <c r="E233" s="21" t="s">
        <v>268</v>
      </c>
      <c r="F233" s="21" t="s">
        <v>268</v>
      </c>
      <c r="G233" s="22" t="e">
        <f>(BudgetApprop_Data[[#This Row],[President]]-BudgetApprop_Data[[#This Row],[FY 2019]])/BudgetApprop_Data[[#This Row],[FY 2019]]</f>
        <v>#VALUE!</v>
      </c>
      <c r="H233" s="21" t="s">
        <v>268</v>
      </c>
      <c r="I233" s="22" t="e">
        <f>(BudgetApprop_Data[[#This Row],[Latest House]]-BudgetApprop_Data[[#This Row],[FY 2019]])/BudgetApprop_Data[[#This Row],[FY 2019]]</f>
        <v>#VALUE!</v>
      </c>
      <c r="J233" s="15"/>
    </row>
  </sheetData>
  <conditionalFormatting sqref="A75:A233">
    <cfRule type="duplicateValues" dxfId="2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514B-3040-43BD-B1BA-32B77A63DA03}">
  <sheetPr codeName="Sheet3"/>
  <dimension ref="A1:Z406"/>
  <sheetViews>
    <sheetView workbookViewId="0">
      <selection activeCell="E15" sqref="E15"/>
    </sheetView>
  </sheetViews>
  <sheetFormatPr defaultRowHeight="15" x14ac:dyDescent="0.25"/>
  <cols>
    <col min="1" max="1" width="52.5703125" bestFit="1" customWidth="1"/>
    <col min="10" max="10" width="74.7109375" bestFit="1" customWidth="1"/>
    <col min="12" max="12" width="74.7109375" bestFit="1" customWidth="1"/>
  </cols>
  <sheetData>
    <row r="1" spans="1:26" x14ac:dyDescent="0.25">
      <c r="A1" s="1" t="s">
        <v>8</v>
      </c>
      <c r="B1" s="1"/>
      <c r="L1" s="2" t="s">
        <v>9</v>
      </c>
      <c r="M1" s="3"/>
    </row>
    <row r="2" spans="1:26" x14ac:dyDescent="0.25">
      <c r="A2" s="4" t="s">
        <v>10</v>
      </c>
      <c r="B2" s="5">
        <f>ROW(FedGrant_Data[#All])</f>
        <v>2</v>
      </c>
      <c r="D2" s="38" t="s">
        <v>431</v>
      </c>
      <c r="E2" t="s">
        <v>291</v>
      </c>
      <c r="L2" s="6" t="s">
        <v>11</v>
      </c>
      <c r="M2" s="7">
        <f>ROW(MemberOrg_Data[#All])</f>
        <v>1</v>
      </c>
      <c r="O2" s="38" t="s">
        <v>262</v>
      </c>
      <c r="P2" t="s">
        <v>26</v>
      </c>
      <c r="S2" s="44" t="s">
        <v>259</v>
      </c>
      <c r="T2" t="str">
        <f>IF('FPWA Member Grants'!I6&lt; 0, "Cut", "Increase")</f>
        <v>Cut</v>
      </c>
      <c r="U2" t="s">
        <v>261</v>
      </c>
      <c r="V2" t="str">
        <f>SelectMemberOrg</f>
        <v>CHINESE-AMERICAN PLANNING COUNCIL</v>
      </c>
      <c r="W2" t="s">
        <v>260</v>
      </c>
      <c r="X2" s="45" t="str">
        <f>TEXT('FPWA Member Grants'!I7, ".#0%")</f>
        <v>-41.84%</v>
      </c>
      <c r="Y2" s="45" t="str">
        <f>CONCATENATE(" ", "or")</f>
        <v xml:space="preserve"> or</v>
      </c>
      <c r="Z2" s="13" t="str">
        <f>CONCATENATE(" ", "(", TEXT('FPWA Member Grants'!I6, "$#,##0"), ")")</f>
        <v xml:space="preserve"> (-$2,470,589)</v>
      </c>
    </row>
    <row r="3" spans="1:26" x14ac:dyDescent="0.25">
      <c r="A3" s="8" t="s">
        <v>12</v>
      </c>
      <c r="B3" s="9">
        <f>ROWS(FedGrant_Data[#All])-1</f>
        <v>66</v>
      </c>
      <c r="D3" s="38" t="s">
        <v>432</v>
      </c>
      <c r="E3" t="str">
        <f>IF(PresAmtChange&lt;0, "Cut", "Increase")</f>
        <v>Increase</v>
      </c>
      <c r="L3" s="8" t="s">
        <v>13</v>
      </c>
      <c r="M3" s="9">
        <f>ROWS(MemberOrg_Data[#All]-1)</f>
        <v>258</v>
      </c>
      <c r="S3" s="38" t="str">
        <f>S2&amp;T2&amp;U2&amp;V2&amp;W2&amp;X2&amp;Y2&amp;Z2</f>
        <v>President Trump's FY 2020 Budget Would Cut the Federal Grants That CHINESE-AMERICAN PLANNING COUNCIL Relies on by -41.84% or (-$2,470,589)</v>
      </c>
    </row>
    <row r="4" spans="1:26" x14ac:dyDescent="0.25">
      <c r="D4" s="38" t="s">
        <v>433</v>
      </c>
      <c r="E4" t="str">
        <f>IF(HouseAmtChange&lt;0, "Cut", "Increase")</f>
        <v>Increase</v>
      </c>
    </row>
    <row r="5" spans="1:26" x14ac:dyDescent="0.25">
      <c r="D5" s="38" t="s">
        <v>434</v>
      </c>
      <c r="E5" t="str">
        <f>CONCATENATE("President Trump's FY 2020 Budget Proposal would"&amp;" "&amp;E3&amp;" "&amp;SelectFedGrant&amp;" "&amp;"by"&amp;" "&amp;" "&amp;TEXT(PresidentPctChange, ".#0%")&amp;" "&amp;"or, by"&amp;" "&amp;TEXT(PresAmtChange, "$#,##0"),CHAR(10),"($ in thousands)")</f>
        <v>President Trump's FY 2020 Budget Proposal would Increase Foster Care Title IV-E by  2.95% or, by $7,846,888
($ in thousands)</v>
      </c>
    </row>
    <row r="8" spans="1:26" x14ac:dyDescent="0.25">
      <c r="A8" s="1" t="s">
        <v>429</v>
      </c>
      <c r="D8" t="s">
        <v>14</v>
      </c>
      <c r="E8" t="s">
        <v>15</v>
      </c>
      <c r="F8" t="s">
        <v>16</v>
      </c>
      <c r="J8" s="10" t="s">
        <v>17</v>
      </c>
      <c r="M8" t="s">
        <v>14</v>
      </c>
      <c r="N8" t="s">
        <v>15</v>
      </c>
      <c r="O8" t="s">
        <v>16</v>
      </c>
    </row>
    <row r="9" spans="1:26" x14ac:dyDescent="0.25">
      <c r="A9" s="48" t="s">
        <v>230</v>
      </c>
      <c r="D9">
        <v>1</v>
      </c>
      <c r="E9">
        <v>1</v>
      </c>
      <c r="F9">
        <f>IF($D9&gt;NumRow, "",IFERROR(IF(SelectFedGrant="*",$D9, _xlfn.AGGREGATE(15,6,(1/(FedGrant_Data[Grant Name] = SelectFedGrant))*ROW(FedGrant_Data[Grant Name]), $D9)-TopRow), ""))</f>
        <v>22</v>
      </c>
      <c r="J9" s="11" t="s">
        <v>18</v>
      </c>
      <c r="M9">
        <v>1</v>
      </c>
      <c r="N9">
        <v>1</v>
      </c>
      <c r="O9">
        <f>IF($M9 &gt; FPWA_NumRow, "", IFERROR(IF(SelectMemberOrg = "*", $M9, _xlfn.AGGREGATE(15, 6, (1/(MemberOrg_Data[Auditee Name] = SelectMemberOrg))*ROW(MemberOrg_Data[Auditee Name]), $M9)-FPWA_TopRow), ""))</f>
        <v>28</v>
      </c>
    </row>
    <row r="10" spans="1:26" x14ac:dyDescent="0.25">
      <c r="A10" s="48" t="s">
        <v>206</v>
      </c>
      <c r="D10">
        <v>2</v>
      </c>
      <c r="E10">
        <v>1</v>
      </c>
      <c r="F10" t="str">
        <f>IF($D10&gt;NumRow, "",IFERROR(IF(SelectFedGrant="*",$D10, _xlfn.AGGREGATE(15,6,(1/(FedGrant_Data[Grant Name] = SelectFedGrant))*ROW(FedGrant_Data[Grant Name]), $D10)-TopRow), ""))</f>
        <v/>
      </c>
      <c r="J10" s="11" t="s">
        <v>19</v>
      </c>
      <c r="M10">
        <v>2</v>
      </c>
      <c r="N10">
        <v>1</v>
      </c>
      <c r="O10">
        <f>IF($M10 &gt; FPWA_NumRow, "", IFERROR(IF(SelectMemberOrg = "*", $M10, _xlfn.AGGREGATE(15, 6, (1/(MemberOrg_Data[Auditee Name] = SelectMemberOrg))*ROW(MemberOrg_Data[Auditee Name]), $M10)-FPWA_TopRow), ""))</f>
        <v>29</v>
      </c>
    </row>
    <row r="11" spans="1:26" x14ac:dyDescent="0.25">
      <c r="A11" s="48" t="s">
        <v>305</v>
      </c>
      <c r="D11">
        <v>3</v>
      </c>
      <c r="E11">
        <v>1</v>
      </c>
      <c r="F11" t="str">
        <f>IF($D11&gt;NumRow, "",IFERROR(IF(SelectFedGrant="*",$D11, _xlfn.AGGREGATE(15,6,(1/(FedGrant_Data[Grant Name] = SelectFedGrant))*ROW(FedGrant_Data[Grant Name]), $D11)-TopRow), ""))</f>
        <v/>
      </c>
      <c r="J11" s="11" t="s">
        <v>20</v>
      </c>
      <c r="M11">
        <v>3</v>
      </c>
      <c r="N11">
        <v>1</v>
      </c>
      <c r="O11">
        <f>IF($M11 &gt; FPWA_NumRow, "", IFERROR(IF(SelectMemberOrg = "*", $M11, _xlfn.AGGREGATE(15, 6, (1/(MemberOrg_Data[Auditee Name] = SelectMemberOrg))*ROW(MemberOrg_Data[Auditee Name]), $M11)-FPWA_TopRow), ""))</f>
        <v>30</v>
      </c>
    </row>
    <row r="12" spans="1:26" x14ac:dyDescent="0.25">
      <c r="A12" s="48" t="s">
        <v>239</v>
      </c>
      <c r="D12">
        <v>4</v>
      </c>
      <c r="E12">
        <v>1</v>
      </c>
      <c r="F12" t="str">
        <f>IF($D12&gt;NumRow, "",IFERROR(IF(SelectFedGrant="*",$D12, _xlfn.AGGREGATE(15,6,(1/(FedGrant_Data[Grant Name] = SelectFedGrant))*ROW(FedGrant_Data[Grant Name]), $D12)-TopRow), ""))</f>
        <v/>
      </c>
      <c r="J12" s="11" t="s">
        <v>21</v>
      </c>
      <c r="M12">
        <v>4</v>
      </c>
      <c r="N12">
        <v>1</v>
      </c>
      <c r="O12">
        <f>IF($M12 &gt; FPWA_NumRow, "", IFERROR(IF(SelectMemberOrg = "*", $M12, _xlfn.AGGREGATE(15, 6, (1/(MemberOrg_Data[Auditee Name] = SelectMemberOrg))*ROW(MemberOrg_Data[Auditee Name]), $M12)-FPWA_TopRow), ""))</f>
        <v>31</v>
      </c>
    </row>
    <row r="13" spans="1:26" x14ac:dyDescent="0.25">
      <c r="A13" s="48" t="s">
        <v>240</v>
      </c>
      <c r="D13">
        <v>5</v>
      </c>
      <c r="E13">
        <v>1</v>
      </c>
      <c r="F13" t="str">
        <f>IF($D13&gt;NumRow, "",IFERROR(IF(SelectFedGrant="*",$D13, _xlfn.AGGREGATE(15,6,(1/(FedGrant_Data[Grant Name] = SelectFedGrant))*ROW(FedGrant_Data[Grant Name]), $D13)-TopRow), ""))</f>
        <v/>
      </c>
      <c r="J13" s="11" t="s">
        <v>22</v>
      </c>
      <c r="M13">
        <v>5</v>
      </c>
      <c r="N13">
        <v>1</v>
      </c>
      <c r="O13">
        <f>IF($M13 &gt; FPWA_NumRow, "", IFERROR(IF(SelectMemberOrg = "*", $M13, _xlfn.AGGREGATE(15, 6, (1/(MemberOrg_Data[Auditee Name] = SelectMemberOrg))*ROW(MemberOrg_Data[Auditee Name]), $M13)-FPWA_TopRow), ""))</f>
        <v>32</v>
      </c>
    </row>
    <row r="14" spans="1:26" x14ac:dyDescent="0.25">
      <c r="A14" s="48" t="s">
        <v>284</v>
      </c>
      <c r="D14">
        <v>6</v>
      </c>
      <c r="E14">
        <v>1</v>
      </c>
      <c r="F14" t="str">
        <f>IF($D14&gt;NumRow, "",IFERROR(IF(SelectFedGrant="*",$D14, _xlfn.AGGREGATE(15,6,(1/(FedGrant_Data[Grant Name] = SelectFedGrant))*ROW(FedGrant_Data[Grant Name]), $D14)-TopRow), ""))</f>
        <v/>
      </c>
      <c r="J14" s="11" t="s">
        <v>23</v>
      </c>
      <c r="M14">
        <v>6</v>
      </c>
      <c r="N14">
        <v>1</v>
      </c>
      <c r="O14">
        <f>IF($M14 &gt; FPWA_NumRow, "", IFERROR(IF(SelectMemberOrg = "*", $M14, _xlfn.AGGREGATE(15, 6, (1/(MemberOrg_Data[Auditee Name] = SelectMemberOrg))*ROW(MemberOrg_Data[Auditee Name]), $M14)-FPWA_TopRow), ""))</f>
        <v>33</v>
      </c>
    </row>
    <row r="15" spans="1:26" x14ac:dyDescent="0.25">
      <c r="A15" s="48" t="s">
        <v>292</v>
      </c>
      <c r="D15">
        <v>7</v>
      </c>
      <c r="E15">
        <v>1</v>
      </c>
      <c r="F15" t="str">
        <f>IF($D15&gt;NumRow, "",IFERROR(IF(SelectFedGrant="*",$D15, _xlfn.AGGREGATE(15,6,(1/(FedGrant_Data[Grant Name] = SelectFedGrant))*ROW(FedGrant_Data[Grant Name]), $D15)-TopRow), ""))</f>
        <v/>
      </c>
      <c r="J15" s="11" t="s">
        <v>24</v>
      </c>
      <c r="M15">
        <v>7</v>
      </c>
      <c r="N15">
        <v>1</v>
      </c>
      <c r="O15">
        <f>IF($M15 &gt; FPWA_NumRow, "", IFERROR(IF(SelectMemberOrg = "*", $M15, _xlfn.AGGREGATE(15, 6, (1/(MemberOrg_Data[Auditee Name] = SelectMemberOrg))*ROW(MemberOrg_Data[Auditee Name]), $M15)-FPWA_TopRow), ""))</f>
        <v>34</v>
      </c>
    </row>
    <row r="16" spans="1:26" x14ac:dyDescent="0.25">
      <c r="A16" s="48" t="s">
        <v>227</v>
      </c>
      <c r="D16">
        <v>8</v>
      </c>
      <c r="E16">
        <v>1</v>
      </c>
      <c r="F16" t="str">
        <f>IF($D16&gt;NumRow, "",IFERROR(IF(SelectFedGrant="*",$D16, _xlfn.AGGREGATE(15,6,(1/(FedGrant_Data[Grant Name] = SelectFedGrant))*ROW(FedGrant_Data[Grant Name]), $D16)-TopRow), ""))</f>
        <v/>
      </c>
      <c r="J16" s="11" t="s">
        <v>25</v>
      </c>
      <c r="M16">
        <v>8</v>
      </c>
      <c r="N16">
        <v>1</v>
      </c>
      <c r="O16">
        <f>IF($M16 &gt; FPWA_NumRow, "", IFERROR(IF(SelectMemberOrg = "*", $M16, _xlfn.AGGREGATE(15, 6, (1/(MemberOrg_Data[Auditee Name] = SelectMemberOrg))*ROW(MemberOrg_Data[Auditee Name]), $M16)-FPWA_TopRow), ""))</f>
        <v>35</v>
      </c>
    </row>
    <row r="17" spans="1:15" x14ac:dyDescent="0.25">
      <c r="A17" s="48" t="s">
        <v>232</v>
      </c>
      <c r="D17">
        <v>9</v>
      </c>
      <c r="E17">
        <v>1</v>
      </c>
      <c r="F17" t="str">
        <f>IF($D17&gt;NumRow, "",IFERROR(IF(SelectFedGrant="*",$D17, _xlfn.AGGREGATE(15,6,(1/(FedGrant_Data[Grant Name] = SelectFedGrant))*ROW(FedGrant_Data[Grant Name]), $D17)-TopRow), ""))</f>
        <v/>
      </c>
      <c r="J17" s="11" t="s">
        <v>26</v>
      </c>
      <c r="M17">
        <v>9</v>
      </c>
      <c r="N17">
        <v>1</v>
      </c>
      <c r="O17">
        <f>IF($M17 &gt; FPWA_NumRow, "", IFERROR(IF(SelectMemberOrg = "*", $M17, _xlfn.AGGREGATE(15, 6, (1/(MemberOrg_Data[Auditee Name] = SelectMemberOrg))*ROW(MemberOrg_Data[Auditee Name]), $M17)-FPWA_TopRow), ""))</f>
        <v>36</v>
      </c>
    </row>
    <row r="18" spans="1:15" x14ac:dyDescent="0.25">
      <c r="A18" s="48" t="s">
        <v>288</v>
      </c>
      <c r="D18">
        <v>10</v>
      </c>
      <c r="E18">
        <v>1</v>
      </c>
      <c r="F18" t="str">
        <f>IF($D18&gt;NumRow, "",IFERROR(IF(SelectFedGrant="*",$D18, _xlfn.AGGREGATE(15,6,(1/(FedGrant_Data[Grant Name] = SelectFedGrant))*ROW(FedGrant_Data[Grant Name]), $D18)-TopRow), ""))</f>
        <v/>
      </c>
      <c r="J18" s="11" t="s">
        <v>27</v>
      </c>
      <c r="M18">
        <v>10</v>
      </c>
      <c r="N18">
        <v>1</v>
      </c>
      <c r="O18">
        <f>IF($M18 &gt; FPWA_NumRow, "", IFERROR(IF(SelectMemberOrg = "*", $M18, _xlfn.AGGREGATE(15, 6, (1/(MemberOrg_Data[Auditee Name] = SelectMemberOrg))*ROW(MemberOrg_Data[Auditee Name]), $M18)-FPWA_TopRow), ""))</f>
        <v>37</v>
      </c>
    </row>
    <row r="19" spans="1:15" x14ac:dyDescent="0.25">
      <c r="A19" s="48" t="s">
        <v>193</v>
      </c>
      <c r="D19">
        <v>11</v>
      </c>
      <c r="E19">
        <v>1</v>
      </c>
      <c r="F19" t="str">
        <f>IF($D19&gt;NumRow, "",IFERROR(IF(SelectFedGrant="*",$D19, _xlfn.AGGREGATE(15,6,(1/(FedGrant_Data[Grant Name] = SelectFedGrant))*ROW(FedGrant_Data[Grant Name]), $D19)-TopRow), ""))</f>
        <v/>
      </c>
      <c r="J19" s="11" t="s">
        <v>28</v>
      </c>
      <c r="M19">
        <v>11</v>
      </c>
      <c r="N19">
        <v>1</v>
      </c>
      <c r="O19">
        <f>IF($M19 &gt; FPWA_NumRow, "", IFERROR(IF(SelectMemberOrg = "*", $M19, _xlfn.AGGREGATE(15, 6, (1/(MemberOrg_Data[Auditee Name] = SelectMemberOrg))*ROW(MemberOrg_Data[Auditee Name]), $M19)-FPWA_TopRow), ""))</f>
        <v>38</v>
      </c>
    </row>
    <row r="20" spans="1:15" x14ac:dyDescent="0.25">
      <c r="A20" s="48" t="s">
        <v>280</v>
      </c>
      <c r="D20">
        <v>12</v>
      </c>
      <c r="E20">
        <v>1</v>
      </c>
      <c r="F20" t="str">
        <f>IF($D20&gt;NumRow, "",IFERROR(IF(SelectFedGrant="*",$D20, _xlfn.AGGREGATE(15,6,(1/(FedGrant_Data[Grant Name] = SelectFedGrant))*ROW(FedGrant_Data[Grant Name]), $D20)-TopRow), ""))</f>
        <v/>
      </c>
      <c r="J20" s="11" t="s">
        <v>29</v>
      </c>
      <c r="M20">
        <v>12</v>
      </c>
      <c r="N20">
        <v>1</v>
      </c>
      <c r="O20">
        <f>IF($M20 &gt; FPWA_NumRow, "", IFERROR(IF(SelectMemberOrg = "*", $M20, _xlfn.AGGREGATE(15, 6, (1/(MemberOrg_Data[Auditee Name] = SelectMemberOrg))*ROW(MemberOrg_Data[Auditee Name]), $M20)-FPWA_TopRow), ""))</f>
        <v>39</v>
      </c>
    </row>
    <row r="21" spans="1:15" x14ac:dyDescent="0.25">
      <c r="A21" s="48" t="s">
        <v>300</v>
      </c>
      <c r="D21">
        <v>13</v>
      </c>
      <c r="E21">
        <v>1</v>
      </c>
      <c r="F21" t="str">
        <f>IF($D21&gt;NumRow, "",IFERROR(IF(SelectFedGrant="*",$D21, _xlfn.AGGREGATE(15,6,(1/(FedGrant_Data[Grant Name] = SelectFedGrant))*ROW(FedGrant_Data[Grant Name]), $D21)-TopRow), ""))</f>
        <v/>
      </c>
      <c r="J21" s="11" t="s">
        <v>30</v>
      </c>
      <c r="M21">
        <v>13</v>
      </c>
      <c r="N21">
        <v>1</v>
      </c>
      <c r="O21">
        <f>IF($M21 &gt; FPWA_NumRow, "", IFERROR(IF(SelectMemberOrg = "*", $M21, _xlfn.AGGREGATE(15, 6, (1/(MemberOrg_Data[Auditee Name] = SelectMemberOrg))*ROW(MemberOrg_Data[Auditee Name]), $M21)-FPWA_TopRow), ""))</f>
        <v>40</v>
      </c>
    </row>
    <row r="22" spans="1:15" x14ac:dyDescent="0.25">
      <c r="A22" s="48" t="s">
        <v>301</v>
      </c>
      <c r="D22">
        <v>14</v>
      </c>
      <c r="E22">
        <v>1</v>
      </c>
      <c r="F22" t="str">
        <f>IF($D22&gt;NumRow, "",IFERROR(IF(SelectFedGrant="*",$D22, _xlfn.AGGREGATE(15,6,(1/(FedGrant_Data[Grant Name] = SelectFedGrant))*ROW(FedGrant_Data[Grant Name]), $D22)-TopRow), ""))</f>
        <v/>
      </c>
      <c r="J22" s="11" t="s">
        <v>31</v>
      </c>
      <c r="M22">
        <v>14</v>
      </c>
      <c r="N22">
        <v>1</v>
      </c>
      <c r="O22">
        <f>IF($M22 &gt; FPWA_NumRow, "", IFERROR(IF(SelectMemberOrg = "*", $M22, _xlfn.AGGREGATE(15, 6, (1/(MemberOrg_Data[Auditee Name] = SelectMemberOrg))*ROW(MemberOrg_Data[Auditee Name]), $M22)-FPWA_TopRow), ""))</f>
        <v>41</v>
      </c>
    </row>
    <row r="23" spans="1:15" x14ac:dyDescent="0.25">
      <c r="A23" s="48" t="s">
        <v>276</v>
      </c>
      <c r="D23">
        <v>15</v>
      </c>
      <c r="E23">
        <v>1</v>
      </c>
      <c r="F23" t="str">
        <f>IF($D23&gt;NumRow, "",IFERROR(IF(SelectFedGrant="*",$D23, _xlfn.AGGREGATE(15,6,(1/(FedGrant_Data[Grant Name] = SelectFedGrant))*ROW(FedGrant_Data[Grant Name]), $D23)-TopRow), ""))</f>
        <v/>
      </c>
      <c r="J23" s="11" t="s">
        <v>32</v>
      </c>
      <c r="M23">
        <v>15</v>
      </c>
      <c r="N23">
        <v>1</v>
      </c>
      <c r="O23">
        <f>IF($M23 &gt; FPWA_NumRow, "", IFERROR(IF(SelectMemberOrg = "*", $M23, _xlfn.AGGREGATE(15, 6, (1/(MemberOrg_Data[Auditee Name] = SelectMemberOrg))*ROW(MemberOrg_Data[Auditee Name]), $M23)-FPWA_TopRow), ""))</f>
        <v>42</v>
      </c>
    </row>
    <row r="24" spans="1:15" x14ac:dyDescent="0.25">
      <c r="A24" s="48" t="s">
        <v>245</v>
      </c>
      <c r="D24">
        <v>16</v>
      </c>
      <c r="E24">
        <v>1</v>
      </c>
      <c r="F24" t="str">
        <f>IF($D24&gt;NumRow, "",IFERROR(IF(SelectFedGrant="*",$D24, _xlfn.AGGREGATE(15,6,(1/(FedGrant_Data[Grant Name] = SelectFedGrant))*ROW(FedGrant_Data[Grant Name]), $D24)-TopRow), ""))</f>
        <v/>
      </c>
      <c r="J24" s="11" t="s">
        <v>33</v>
      </c>
      <c r="M24">
        <v>16</v>
      </c>
      <c r="N24">
        <v>1</v>
      </c>
      <c r="O24" t="str">
        <f>IF($M24 &gt; FPWA_NumRow, "", IFERROR(IF(SelectMemberOrg = "*", $M24, _xlfn.AGGREGATE(15, 6, (1/(MemberOrg_Data[Auditee Name] = SelectMemberOrg))*ROW(MemberOrg_Data[Auditee Name]), $M24)-FPWA_TopRow), ""))</f>
        <v/>
      </c>
    </row>
    <row r="25" spans="1:15" x14ac:dyDescent="0.25">
      <c r="A25" s="48" t="s">
        <v>277</v>
      </c>
      <c r="D25">
        <v>17</v>
      </c>
      <c r="E25">
        <v>1</v>
      </c>
      <c r="F25" t="str">
        <f>IF($D25&gt;NumRow, "",IFERROR(IF(SelectFedGrant="*",$D25, _xlfn.AGGREGATE(15,6,(1/(FedGrant_Data[Grant Name] = SelectFedGrant))*ROW(FedGrant_Data[Grant Name]), $D25)-TopRow), ""))</f>
        <v/>
      </c>
      <c r="J25" s="11" t="s">
        <v>34</v>
      </c>
      <c r="M25">
        <v>17</v>
      </c>
      <c r="N25">
        <v>1</v>
      </c>
      <c r="O25" t="str">
        <f>IF($M25 &gt; FPWA_NumRow, "", IFERROR(IF(SelectMemberOrg = "*", $M25, _xlfn.AGGREGATE(15, 6, (1/(MemberOrg_Data[Auditee Name] = SelectMemberOrg))*ROW(MemberOrg_Data[Auditee Name]), $M25)-FPWA_TopRow), ""))</f>
        <v/>
      </c>
    </row>
    <row r="26" spans="1:15" x14ac:dyDescent="0.25">
      <c r="A26" s="48" t="s">
        <v>298</v>
      </c>
      <c r="D26">
        <v>18</v>
      </c>
      <c r="E26">
        <v>1</v>
      </c>
      <c r="F26" t="str">
        <f>IF($D26&gt;NumRow, "",IFERROR(IF(SelectFedGrant="*",$D26, _xlfn.AGGREGATE(15,6,(1/(FedGrant_Data[Grant Name] = SelectFedGrant))*ROW(FedGrant_Data[Grant Name]), $D26)-TopRow), ""))</f>
        <v/>
      </c>
      <c r="J26" s="11" t="s">
        <v>35</v>
      </c>
      <c r="M26">
        <v>18</v>
      </c>
      <c r="N26">
        <v>1</v>
      </c>
      <c r="O26" t="str">
        <f>IF($M26 &gt; FPWA_NumRow, "", IFERROR(IF(SelectMemberOrg = "*", $M26, _xlfn.AGGREGATE(15, 6, (1/(MemberOrg_Data[Auditee Name] = SelectMemberOrg))*ROW(MemberOrg_Data[Auditee Name]), $M26)-FPWA_TopRow), ""))</f>
        <v/>
      </c>
    </row>
    <row r="27" spans="1:15" x14ac:dyDescent="0.25">
      <c r="A27" s="48" t="s">
        <v>194</v>
      </c>
      <c r="D27">
        <v>19</v>
      </c>
      <c r="E27">
        <v>1</v>
      </c>
      <c r="F27" t="str">
        <f>IF($D27&gt;NumRow, "",IFERROR(IF(SelectFedGrant="*",$D27, _xlfn.AGGREGATE(15,6,(1/(FedGrant_Data[Grant Name] = SelectFedGrant))*ROW(FedGrant_Data[Grant Name]), $D27)-TopRow), ""))</f>
        <v/>
      </c>
      <c r="J27" s="11" t="s">
        <v>36</v>
      </c>
      <c r="M27">
        <v>19</v>
      </c>
      <c r="N27">
        <v>1</v>
      </c>
      <c r="O27" t="str">
        <f>IF($M27 &gt; FPWA_NumRow, "", IFERROR(IF(SelectMemberOrg = "*", $M27, _xlfn.AGGREGATE(15, 6, (1/(MemberOrg_Data[Auditee Name] = SelectMemberOrg))*ROW(MemberOrg_Data[Auditee Name]), $M27)-FPWA_TopRow), ""))</f>
        <v/>
      </c>
    </row>
    <row r="28" spans="1:15" x14ac:dyDescent="0.25">
      <c r="A28" s="48" t="s">
        <v>281</v>
      </c>
      <c r="D28">
        <v>20</v>
      </c>
      <c r="E28">
        <v>1</v>
      </c>
      <c r="F28" t="str">
        <f>IF($D28&gt;NumRow, "",IFERROR(IF(SelectFedGrant="*",$D28, _xlfn.AGGREGATE(15,6,(1/(FedGrant_Data[Grant Name] = SelectFedGrant))*ROW(FedGrant_Data[Grant Name]), $D28)-TopRow), ""))</f>
        <v/>
      </c>
      <c r="J28" s="11" t="s">
        <v>37</v>
      </c>
      <c r="M28">
        <v>20</v>
      </c>
      <c r="N28">
        <v>1</v>
      </c>
      <c r="O28" t="str">
        <f>IF($M28 &gt; FPWA_NumRow, "", IFERROR(IF(SelectMemberOrg = "*", $M28, _xlfn.AGGREGATE(15, 6, (1/(MemberOrg_Data[Auditee Name] = SelectMemberOrg))*ROW(MemberOrg_Data[Auditee Name]), $M28)-FPWA_TopRow), ""))</f>
        <v/>
      </c>
    </row>
    <row r="29" spans="1:15" x14ac:dyDescent="0.25">
      <c r="A29" s="48" t="s">
        <v>310</v>
      </c>
      <c r="D29">
        <v>21</v>
      </c>
      <c r="E29">
        <v>1</v>
      </c>
      <c r="F29" t="str">
        <f>IF($D29&gt;NumRow, "",IFERROR(IF(SelectFedGrant="*",$D29, _xlfn.AGGREGATE(15,6,(1/(FedGrant_Data[Grant Name] = SelectFedGrant))*ROW(FedGrant_Data[Grant Name]), $D29)-TopRow), ""))</f>
        <v/>
      </c>
      <c r="J29" s="11" t="s">
        <v>38</v>
      </c>
      <c r="M29">
        <v>21</v>
      </c>
      <c r="N29">
        <v>1</v>
      </c>
      <c r="O29" t="str">
        <f>IF($M29 &gt; FPWA_NumRow, "", IFERROR(IF(SelectMemberOrg = "*", $M29, _xlfn.AGGREGATE(15, 6, (1/(MemberOrg_Data[Auditee Name] = SelectMemberOrg))*ROW(MemberOrg_Data[Auditee Name]), $M29)-FPWA_TopRow), ""))</f>
        <v/>
      </c>
    </row>
    <row r="30" spans="1:15" x14ac:dyDescent="0.25">
      <c r="A30" s="48" t="s">
        <v>291</v>
      </c>
      <c r="D30">
        <v>22</v>
      </c>
      <c r="E30">
        <v>1</v>
      </c>
      <c r="F30" t="str">
        <f>IF($D30&gt;NumRow, "",IFERROR(IF(SelectFedGrant="*",$D30, _xlfn.AGGREGATE(15,6,(1/(FedGrant_Data[Grant Name] = SelectFedGrant))*ROW(FedGrant_Data[Grant Name]), $D30)-TopRow), ""))</f>
        <v/>
      </c>
      <c r="J30" s="11" t="s">
        <v>39</v>
      </c>
      <c r="M30">
        <v>22</v>
      </c>
      <c r="N30">
        <v>1</v>
      </c>
      <c r="O30" t="str">
        <f>IF($M30 &gt; FPWA_NumRow, "", IFERROR(IF(SelectMemberOrg = "*", $M30, _xlfn.AGGREGATE(15, 6, (1/(MemberOrg_Data[Auditee Name] = SelectMemberOrg))*ROW(MemberOrg_Data[Auditee Name]), $M30)-FPWA_TopRow), ""))</f>
        <v/>
      </c>
    </row>
    <row r="31" spans="1:15" x14ac:dyDescent="0.25">
      <c r="A31" s="48" t="s">
        <v>98</v>
      </c>
      <c r="D31">
        <v>23</v>
      </c>
      <c r="E31">
        <v>1</v>
      </c>
      <c r="F31" t="str">
        <f>IF($D31&gt;NumRow, "",IFERROR(IF(SelectFedGrant="*",$D31, _xlfn.AGGREGATE(15,6,(1/(FedGrant_Data[Grant Name] = SelectFedGrant))*ROW(FedGrant_Data[Grant Name]), $D31)-TopRow), ""))</f>
        <v/>
      </c>
      <c r="J31" s="11" t="s">
        <v>40</v>
      </c>
      <c r="M31">
        <v>23</v>
      </c>
      <c r="N31">
        <v>1</v>
      </c>
      <c r="O31" t="str">
        <f>IF($M31 &gt; FPWA_NumRow, "", IFERROR(IF(SelectMemberOrg = "*", $M31, _xlfn.AGGREGATE(15, 6, (1/(MemberOrg_Data[Auditee Name] = SelectMemberOrg))*ROW(MemberOrg_Data[Auditee Name]), $M31)-FPWA_TopRow), ""))</f>
        <v/>
      </c>
    </row>
    <row r="32" spans="1:15" x14ac:dyDescent="0.25">
      <c r="A32" s="48" t="s">
        <v>217</v>
      </c>
      <c r="D32">
        <v>24</v>
      </c>
      <c r="E32">
        <v>1</v>
      </c>
      <c r="F32" t="str">
        <f>IF($D32&gt;NumRow, "",IFERROR(IF(SelectFedGrant="*",$D32, _xlfn.AGGREGATE(15,6,(1/(FedGrant_Data[Grant Name] = SelectFedGrant))*ROW(FedGrant_Data[Grant Name]), $D32)-TopRow), ""))</f>
        <v/>
      </c>
      <c r="J32" s="11" t="s">
        <v>41</v>
      </c>
      <c r="M32">
        <v>24</v>
      </c>
      <c r="N32">
        <v>1</v>
      </c>
      <c r="O32" t="str">
        <f>IF($M32 &gt; FPWA_NumRow, "", IFERROR(IF(SelectMemberOrg = "*", $M32, _xlfn.AGGREGATE(15, 6, (1/(MemberOrg_Data[Auditee Name] = SelectMemberOrg))*ROW(MemberOrg_Data[Auditee Name]), $M32)-FPWA_TopRow), ""))</f>
        <v/>
      </c>
    </row>
    <row r="33" spans="1:15" x14ac:dyDescent="0.25">
      <c r="A33" s="48" t="s">
        <v>306</v>
      </c>
      <c r="D33">
        <v>25</v>
      </c>
      <c r="E33">
        <v>1</v>
      </c>
      <c r="F33" t="str">
        <f>IF($D33&gt;NumRow, "",IFERROR(IF(SelectFedGrant="*",$D33, _xlfn.AGGREGATE(15,6,(1/(FedGrant_Data[Grant Name] = SelectFedGrant))*ROW(FedGrant_Data[Grant Name]), $D33)-TopRow), ""))</f>
        <v/>
      </c>
      <c r="J33" s="11" t="s">
        <v>42</v>
      </c>
      <c r="M33">
        <v>25</v>
      </c>
      <c r="N33">
        <v>1</v>
      </c>
      <c r="O33" t="str">
        <f>IF($M33 &gt; FPWA_NumRow, "", IFERROR(IF(SelectMemberOrg = "*", $M33, _xlfn.AGGREGATE(15, 6, (1/(MemberOrg_Data[Auditee Name] = SelectMemberOrg))*ROW(MemberOrg_Data[Auditee Name]), $M33)-FPWA_TopRow), ""))</f>
        <v/>
      </c>
    </row>
    <row r="34" spans="1:15" x14ac:dyDescent="0.25">
      <c r="A34" s="48" t="s">
        <v>296</v>
      </c>
      <c r="D34">
        <v>26</v>
      </c>
      <c r="E34">
        <v>1</v>
      </c>
      <c r="F34" t="str">
        <f>IF($D34&gt;NumRow, "",IFERROR(IF(SelectFedGrant="*",$D34, _xlfn.AGGREGATE(15,6,(1/(FedGrant_Data[Grant Name] = SelectFedGrant))*ROW(FedGrant_Data[Grant Name]), $D34)-TopRow), ""))</f>
        <v/>
      </c>
      <c r="J34" s="11" t="s">
        <v>43</v>
      </c>
      <c r="M34">
        <v>26</v>
      </c>
      <c r="N34">
        <v>1</v>
      </c>
      <c r="O34" t="str">
        <f>IF($M34 &gt; FPWA_NumRow, "", IFERROR(IF(SelectMemberOrg = "*", $M34, _xlfn.AGGREGATE(15, 6, (1/(MemberOrg_Data[Auditee Name] = SelectMemberOrg))*ROW(MemberOrg_Data[Auditee Name]), $M34)-FPWA_TopRow), ""))</f>
        <v/>
      </c>
    </row>
    <row r="35" spans="1:15" x14ac:dyDescent="0.25">
      <c r="A35" s="48" t="s">
        <v>236</v>
      </c>
      <c r="D35">
        <v>27</v>
      </c>
      <c r="E35">
        <v>1</v>
      </c>
      <c r="F35" t="str">
        <f>IF($D35&gt;NumRow, "",IFERROR(IF(SelectFedGrant="*",$D35, _xlfn.AGGREGATE(15,6,(1/(FedGrant_Data[Grant Name] = SelectFedGrant))*ROW(FedGrant_Data[Grant Name]), $D35)-TopRow), ""))</f>
        <v/>
      </c>
      <c r="J35" s="11" t="s">
        <v>44</v>
      </c>
      <c r="M35">
        <v>27</v>
      </c>
      <c r="N35">
        <v>1</v>
      </c>
      <c r="O35" t="str">
        <f>IF($M35 &gt; FPWA_NumRow, "", IFERROR(IF(SelectMemberOrg = "*", $M35, _xlfn.AGGREGATE(15, 6, (1/(MemberOrg_Data[Auditee Name] = SelectMemberOrg))*ROW(MemberOrg_Data[Auditee Name]), $M35)-FPWA_TopRow), ""))</f>
        <v/>
      </c>
    </row>
    <row r="36" spans="1:15" x14ac:dyDescent="0.25">
      <c r="A36" s="48" t="s">
        <v>235</v>
      </c>
      <c r="D36">
        <v>28</v>
      </c>
      <c r="E36">
        <v>1</v>
      </c>
      <c r="F36" t="str">
        <f>IF($D36&gt;NumRow, "",IFERROR(IF(SelectFedGrant="*",$D36, _xlfn.AGGREGATE(15,6,(1/(FedGrant_Data[Grant Name] = SelectFedGrant))*ROW(FedGrant_Data[Grant Name]), $D36)-TopRow), ""))</f>
        <v/>
      </c>
      <c r="J36" s="11" t="s">
        <v>45</v>
      </c>
      <c r="M36">
        <v>28</v>
      </c>
      <c r="N36">
        <v>1</v>
      </c>
      <c r="O36" t="str">
        <f>IF($M36 &gt; FPWA_NumRow, "", IFERROR(IF(SelectMemberOrg = "*", $M36, _xlfn.AGGREGATE(15, 6, (1/(MemberOrg_Data[Auditee Name] = SelectMemberOrg))*ROW(MemberOrg_Data[Auditee Name]), $M36)-FPWA_TopRow), ""))</f>
        <v/>
      </c>
    </row>
    <row r="37" spans="1:15" x14ac:dyDescent="0.25">
      <c r="A37" s="48" t="s">
        <v>313</v>
      </c>
      <c r="D37">
        <v>29</v>
      </c>
      <c r="E37">
        <v>1</v>
      </c>
      <c r="F37" t="str">
        <f>IF($D37&gt;NumRow, "",IFERROR(IF(SelectFedGrant="*",$D37, _xlfn.AGGREGATE(15,6,(1/(FedGrant_Data[Grant Name] = SelectFedGrant))*ROW(FedGrant_Data[Grant Name]), $D37)-TopRow), ""))</f>
        <v/>
      </c>
      <c r="J37" s="11" t="s">
        <v>46</v>
      </c>
      <c r="M37">
        <v>29</v>
      </c>
      <c r="N37">
        <v>1</v>
      </c>
      <c r="O37" t="str">
        <f>IF($M37 &gt; FPWA_NumRow, "", IFERROR(IF(SelectMemberOrg = "*", $M37, _xlfn.AGGREGATE(15, 6, (1/(MemberOrg_Data[Auditee Name] = SelectMemberOrg))*ROW(MemberOrg_Data[Auditee Name]), $M37)-FPWA_TopRow), ""))</f>
        <v/>
      </c>
    </row>
    <row r="38" spans="1:15" x14ac:dyDescent="0.25">
      <c r="A38" s="48" t="s">
        <v>197</v>
      </c>
      <c r="D38">
        <v>30</v>
      </c>
      <c r="E38">
        <v>1</v>
      </c>
      <c r="F38" t="str">
        <f>IF($D38&gt;NumRow, "",IFERROR(IF(SelectFedGrant="*",$D38, _xlfn.AGGREGATE(15,6,(1/(FedGrant_Data[Grant Name] = SelectFedGrant))*ROW(FedGrant_Data[Grant Name]), $D38)-TopRow), ""))</f>
        <v/>
      </c>
      <c r="J38" s="11" t="s">
        <v>47</v>
      </c>
      <c r="M38">
        <v>30</v>
      </c>
      <c r="N38">
        <v>1</v>
      </c>
      <c r="O38" t="str">
        <f>IF($M38 &gt; FPWA_NumRow, "", IFERROR(IF(SelectMemberOrg = "*", $M38, _xlfn.AGGREGATE(15, 6, (1/(MemberOrg_Data[Auditee Name] = SelectMemberOrg))*ROW(MemberOrg_Data[Auditee Name]), $M38)-FPWA_TopRow), ""))</f>
        <v/>
      </c>
    </row>
    <row r="39" spans="1:15" x14ac:dyDescent="0.25">
      <c r="A39" s="48" t="s">
        <v>279</v>
      </c>
      <c r="D39">
        <v>31</v>
      </c>
      <c r="E39">
        <v>1</v>
      </c>
      <c r="F39" t="str">
        <f>IF($D39&gt;NumRow, "",IFERROR(IF(SelectFedGrant="*",$D39, _xlfn.AGGREGATE(15,6,(1/(FedGrant_Data[Grant Name] = SelectFedGrant))*ROW(FedGrant_Data[Grant Name]), $D39)-TopRow), ""))</f>
        <v/>
      </c>
      <c r="J39" s="11" t="s">
        <v>48</v>
      </c>
      <c r="M39">
        <v>31</v>
      </c>
      <c r="N39">
        <v>1</v>
      </c>
      <c r="O39" t="str">
        <f>IF($M39 &gt; FPWA_NumRow, "", IFERROR(IF(SelectMemberOrg = "*", $M39, _xlfn.AGGREGATE(15, 6, (1/(MemberOrg_Data[Auditee Name] = SelectMemberOrg))*ROW(MemberOrg_Data[Auditee Name]), $M39)-FPWA_TopRow), ""))</f>
        <v/>
      </c>
    </row>
    <row r="40" spans="1:15" x14ac:dyDescent="0.25">
      <c r="A40" s="48" t="s">
        <v>275</v>
      </c>
      <c r="D40">
        <v>32</v>
      </c>
      <c r="E40">
        <v>1</v>
      </c>
      <c r="F40" t="str">
        <f>IF($D40&gt;NumRow, "",IFERROR(IF(SelectFedGrant="*",$D40, _xlfn.AGGREGATE(15,6,(1/(FedGrant_Data[Grant Name] = SelectFedGrant))*ROW(FedGrant_Data[Grant Name]), $D40)-TopRow), ""))</f>
        <v/>
      </c>
      <c r="J40" s="11" t="s">
        <v>49</v>
      </c>
      <c r="M40">
        <v>32</v>
      </c>
      <c r="N40">
        <v>1</v>
      </c>
      <c r="O40" t="str">
        <f>IF($M40 &gt; FPWA_NumRow, "", IFERROR(IF(SelectMemberOrg = "*", $M40, _xlfn.AGGREGATE(15, 6, (1/(MemberOrg_Data[Auditee Name] = SelectMemberOrg))*ROW(MemberOrg_Data[Auditee Name]), $M40)-FPWA_TopRow), ""))</f>
        <v/>
      </c>
    </row>
    <row r="41" spans="1:15" x14ac:dyDescent="0.25">
      <c r="A41" s="48" t="s">
        <v>278</v>
      </c>
      <c r="D41">
        <v>33</v>
      </c>
      <c r="E41">
        <v>1</v>
      </c>
      <c r="F41" t="str">
        <f>IF($D41&gt;NumRow, "",IFERROR(IF(SelectFedGrant="*",$D41, _xlfn.AGGREGATE(15,6,(1/(FedGrant_Data[Grant Name] = SelectFedGrant))*ROW(FedGrant_Data[Grant Name]), $D41)-TopRow), ""))</f>
        <v/>
      </c>
      <c r="J41" s="11" t="s">
        <v>50</v>
      </c>
      <c r="M41">
        <v>33</v>
      </c>
      <c r="N41">
        <v>1</v>
      </c>
      <c r="O41" t="str">
        <f>IF($M41 &gt; FPWA_NumRow, "", IFERROR(IF(SelectMemberOrg = "*", $M41, _xlfn.AGGREGATE(15, 6, (1/(MemberOrg_Data[Auditee Name] = SelectMemberOrg))*ROW(MemberOrg_Data[Auditee Name]), $M41)-FPWA_TopRow), ""))</f>
        <v/>
      </c>
    </row>
    <row r="42" spans="1:15" x14ac:dyDescent="0.25">
      <c r="A42" s="48" t="s">
        <v>219</v>
      </c>
      <c r="D42">
        <v>34</v>
      </c>
      <c r="E42">
        <v>1</v>
      </c>
      <c r="F42" t="str">
        <f>IF($D42&gt;NumRow, "",IFERROR(IF(SelectFedGrant="*",$D42, _xlfn.AGGREGATE(15,6,(1/(FedGrant_Data[Grant Name] = SelectFedGrant))*ROW(FedGrant_Data[Grant Name]), $D42)-TopRow), ""))</f>
        <v/>
      </c>
      <c r="J42" s="11" t="s">
        <v>51</v>
      </c>
      <c r="M42">
        <v>34</v>
      </c>
      <c r="N42">
        <v>1</v>
      </c>
      <c r="O42" t="str">
        <f>IF($M42 &gt; FPWA_NumRow, "", IFERROR(IF(SelectMemberOrg = "*", $M42, _xlfn.AGGREGATE(15, 6, (1/(MemberOrg_Data[Auditee Name] = SelectMemberOrg))*ROW(MemberOrg_Data[Auditee Name]), $M42)-FPWA_TopRow), ""))</f>
        <v/>
      </c>
    </row>
    <row r="43" spans="1:15" x14ac:dyDescent="0.25">
      <c r="A43" s="48" t="s">
        <v>285</v>
      </c>
      <c r="D43">
        <v>35</v>
      </c>
      <c r="E43">
        <v>1</v>
      </c>
      <c r="F43" t="str">
        <f>IF($D43&gt;NumRow, "",IFERROR(IF(SelectFedGrant="*",$D43, _xlfn.AGGREGATE(15,6,(1/(FedGrant_Data[Grant Name] = SelectFedGrant))*ROW(FedGrant_Data[Grant Name]), $D43)-TopRow), ""))</f>
        <v/>
      </c>
      <c r="J43" s="11" t="s">
        <v>52</v>
      </c>
      <c r="M43">
        <v>35</v>
      </c>
      <c r="N43">
        <v>1</v>
      </c>
      <c r="O43" t="str">
        <f>IF($M43 &gt; FPWA_NumRow, "", IFERROR(IF(SelectMemberOrg = "*", $M43, _xlfn.AGGREGATE(15, 6, (1/(MemberOrg_Data[Auditee Name] = SelectMemberOrg))*ROW(MemberOrg_Data[Auditee Name]), $M43)-FPWA_TopRow), ""))</f>
        <v/>
      </c>
    </row>
    <row r="44" spans="1:15" x14ac:dyDescent="0.25">
      <c r="A44" s="48" t="s">
        <v>303</v>
      </c>
      <c r="D44">
        <v>36</v>
      </c>
      <c r="E44">
        <v>1</v>
      </c>
      <c r="F44" t="str">
        <f>IF($D44&gt;NumRow, "",IFERROR(IF(SelectFedGrant="*",$D44, _xlfn.AGGREGATE(15,6,(1/(FedGrant_Data[Grant Name] = SelectFedGrant))*ROW(FedGrant_Data[Grant Name]), $D44)-TopRow), ""))</f>
        <v/>
      </c>
      <c r="J44" s="11" t="s">
        <v>53</v>
      </c>
      <c r="M44">
        <v>36</v>
      </c>
      <c r="N44">
        <v>1</v>
      </c>
      <c r="O44" t="str">
        <f>IF($M44 &gt; FPWA_NumRow, "", IFERROR(IF(SelectMemberOrg = "*", $M44, _xlfn.AGGREGATE(15, 6, (1/(MemberOrg_Data[Auditee Name] = SelectMemberOrg))*ROW(MemberOrg_Data[Auditee Name]), $M44)-FPWA_TopRow), ""))</f>
        <v/>
      </c>
    </row>
    <row r="45" spans="1:15" x14ac:dyDescent="0.25">
      <c r="A45" s="48" t="s">
        <v>293</v>
      </c>
      <c r="D45">
        <v>37</v>
      </c>
      <c r="E45">
        <v>1</v>
      </c>
      <c r="F45" t="str">
        <f>IF($D45&gt;NumRow, "",IFERROR(IF(SelectFedGrant="*",$D45, _xlfn.AGGREGATE(15,6,(1/(FedGrant_Data[Grant Name] = SelectFedGrant))*ROW(FedGrant_Data[Grant Name]), $D45)-TopRow), ""))</f>
        <v/>
      </c>
      <c r="J45" s="11" t="s">
        <v>54</v>
      </c>
      <c r="M45">
        <v>37</v>
      </c>
      <c r="N45">
        <v>1</v>
      </c>
      <c r="O45" t="str">
        <f>IF($M45 &gt; FPWA_NumRow, "", IFERROR(IF(SelectMemberOrg = "*", $M45, _xlfn.AGGREGATE(15, 6, (1/(MemberOrg_Data[Auditee Name] = SelectMemberOrg))*ROW(MemberOrg_Data[Auditee Name]), $M45)-FPWA_TopRow), ""))</f>
        <v/>
      </c>
    </row>
    <row r="46" spans="1:15" x14ac:dyDescent="0.25">
      <c r="A46" s="48" t="s">
        <v>289</v>
      </c>
      <c r="D46">
        <v>38</v>
      </c>
      <c r="E46">
        <v>1</v>
      </c>
      <c r="F46" t="str">
        <f>IF($D46&gt;NumRow, "",IFERROR(IF(SelectFedGrant="*",$D46, _xlfn.AGGREGATE(15,6,(1/(FedGrant_Data[Grant Name] = SelectFedGrant))*ROW(FedGrant_Data[Grant Name]), $D46)-TopRow), ""))</f>
        <v/>
      </c>
      <c r="J46" s="11" t="s">
        <v>55</v>
      </c>
      <c r="M46">
        <v>38</v>
      </c>
      <c r="N46">
        <v>1</v>
      </c>
      <c r="O46" t="str">
        <f>IF($M46 &gt; FPWA_NumRow, "", IFERROR(IF(SelectMemberOrg = "*", $M46, _xlfn.AGGREGATE(15, 6, (1/(MemberOrg_Data[Auditee Name] = SelectMemberOrg))*ROW(MemberOrg_Data[Auditee Name]), $M46)-FPWA_TopRow), ""))</f>
        <v/>
      </c>
    </row>
    <row r="47" spans="1:15" x14ac:dyDescent="0.25">
      <c r="A47" s="48" t="s">
        <v>241</v>
      </c>
      <c r="D47">
        <v>39</v>
      </c>
      <c r="E47">
        <v>1</v>
      </c>
      <c r="F47" t="str">
        <f>IF($D47&gt;NumRow, "",IFERROR(IF(SelectFedGrant="*",$D47, _xlfn.AGGREGATE(15,6,(1/(FedGrant_Data[Grant Name] = SelectFedGrant))*ROW(FedGrant_Data[Grant Name]), $D47)-TopRow), ""))</f>
        <v/>
      </c>
      <c r="J47" s="11" t="s">
        <v>56</v>
      </c>
      <c r="M47">
        <v>39</v>
      </c>
      <c r="N47">
        <v>1</v>
      </c>
      <c r="O47" t="str">
        <f>IF($M47 &gt; FPWA_NumRow, "", IFERROR(IF(SelectMemberOrg = "*", $M47, _xlfn.AGGREGATE(15, 6, (1/(MemberOrg_Data[Auditee Name] = SelectMemberOrg))*ROW(MemberOrg_Data[Auditee Name]), $M47)-FPWA_TopRow), ""))</f>
        <v/>
      </c>
    </row>
    <row r="48" spans="1:15" x14ac:dyDescent="0.25">
      <c r="A48" s="48" t="s">
        <v>297</v>
      </c>
      <c r="D48">
        <v>40</v>
      </c>
      <c r="E48">
        <v>1</v>
      </c>
      <c r="F48" t="str">
        <f>IF($D48&gt;NumRow, "",IFERROR(IF(SelectFedGrant="*",$D48, _xlfn.AGGREGATE(15,6,(1/(FedGrant_Data[Grant Name] = SelectFedGrant))*ROW(FedGrant_Data[Grant Name]), $D48)-TopRow), ""))</f>
        <v/>
      </c>
      <c r="J48" s="11" t="s">
        <v>57</v>
      </c>
      <c r="M48">
        <v>40</v>
      </c>
      <c r="N48">
        <v>1</v>
      </c>
      <c r="O48" t="str">
        <f>IF($M48 &gt; FPWA_NumRow, "", IFERROR(IF(SelectMemberOrg = "*", $M48, _xlfn.AGGREGATE(15, 6, (1/(MemberOrg_Data[Auditee Name] = SelectMemberOrg))*ROW(MemberOrg_Data[Auditee Name]), $M48)-FPWA_TopRow), ""))</f>
        <v/>
      </c>
    </row>
    <row r="49" spans="1:15" x14ac:dyDescent="0.25">
      <c r="A49" s="48" t="s">
        <v>311</v>
      </c>
      <c r="D49">
        <v>41</v>
      </c>
      <c r="E49">
        <v>1</v>
      </c>
      <c r="F49" t="str">
        <f>IF($D49&gt;NumRow, "",IFERROR(IF(SelectFedGrant="*",$D49, _xlfn.AGGREGATE(15,6,(1/(FedGrant_Data[Grant Name] = SelectFedGrant))*ROW(FedGrant_Data[Grant Name]), $D49)-TopRow), ""))</f>
        <v/>
      </c>
      <c r="J49" s="11" t="s">
        <v>58</v>
      </c>
      <c r="M49">
        <v>41</v>
      </c>
      <c r="N49">
        <v>1</v>
      </c>
      <c r="O49" t="str">
        <f>IF($M49 &gt; FPWA_NumRow, "", IFERROR(IF(SelectMemberOrg = "*", $M49, _xlfn.AGGREGATE(15, 6, (1/(MemberOrg_Data[Auditee Name] = SelectMemberOrg))*ROW(MemberOrg_Data[Auditee Name]), $M49)-FPWA_TopRow), ""))</f>
        <v/>
      </c>
    </row>
    <row r="50" spans="1:15" x14ac:dyDescent="0.25">
      <c r="A50" s="48" t="s">
        <v>309</v>
      </c>
      <c r="D50">
        <v>42</v>
      </c>
      <c r="E50">
        <v>1</v>
      </c>
      <c r="F50" t="str">
        <f>IF($D50&gt;NumRow, "",IFERROR(IF(SelectFedGrant="*",$D50, _xlfn.AGGREGATE(15,6,(1/(FedGrant_Data[Grant Name] = SelectFedGrant))*ROW(FedGrant_Data[Grant Name]), $D50)-TopRow), ""))</f>
        <v/>
      </c>
      <c r="J50" s="11" t="s">
        <v>59</v>
      </c>
      <c r="M50">
        <v>42</v>
      </c>
      <c r="N50">
        <v>1</v>
      </c>
      <c r="O50" t="str">
        <f>IF($M50 &gt; FPWA_NumRow, "", IFERROR(IF(SelectMemberOrg = "*", $M50, _xlfn.AGGREGATE(15, 6, (1/(MemberOrg_Data[Auditee Name] = SelectMemberOrg))*ROW(MemberOrg_Data[Auditee Name]), $M50)-FPWA_TopRow), ""))</f>
        <v/>
      </c>
    </row>
    <row r="51" spans="1:15" x14ac:dyDescent="0.25">
      <c r="A51" s="48" t="s">
        <v>307</v>
      </c>
      <c r="D51">
        <v>43</v>
      </c>
      <c r="E51">
        <v>1</v>
      </c>
      <c r="F51" t="str">
        <f>IF($D51&gt;NumRow, "",IFERROR(IF(SelectFedGrant="*",$D51, _xlfn.AGGREGATE(15,6,(1/(FedGrant_Data[Grant Name] = SelectFedGrant))*ROW(FedGrant_Data[Grant Name]), $D51)-TopRow), ""))</f>
        <v/>
      </c>
      <c r="J51" s="12" t="s">
        <v>60</v>
      </c>
      <c r="M51">
        <v>43</v>
      </c>
      <c r="N51">
        <v>1</v>
      </c>
      <c r="O51" t="str">
        <f>IF($M51 &gt; FPWA_NumRow, "", IFERROR(IF(SelectMemberOrg = "*", $M51, _xlfn.AGGREGATE(15, 6, (1/(MemberOrg_Data[Auditee Name] = SelectMemberOrg))*ROW(MemberOrg_Data[Auditee Name]), $M51)-FPWA_TopRow), ""))</f>
        <v/>
      </c>
    </row>
    <row r="52" spans="1:15" x14ac:dyDescent="0.25">
      <c r="A52" s="48" t="s">
        <v>304</v>
      </c>
      <c r="D52">
        <v>44</v>
      </c>
      <c r="E52">
        <v>1</v>
      </c>
      <c r="F52" t="str">
        <f>IF($D52&gt;NumRow, "",IFERROR(IF(SelectFedGrant="*",$D52, _xlfn.AGGREGATE(15,6,(1/(FedGrant_Data[Grant Name] = SelectFedGrant))*ROW(FedGrant_Data[Grant Name]), $D52)-TopRow), ""))</f>
        <v/>
      </c>
      <c r="M52">
        <v>44</v>
      </c>
      <c r="N52">
        <v>1</v>
      </c>
      <c r="O52" t="str">
        <f>IF($M52 &gt; FPWA_NumRow, "", IFERROR(IF(SelectMemberOrg = "*", $M52, _xlfn.AGGREGATE(15, 6, (1/(MemberOrg_Data[Auditee Name] = SelectMemberOrg))*ROW(MemberOrg_Data[Auditee Name]), $M52)-FPWA_TopRow), ""))</f>
        <v/>
      </c>
    </row>
    <row r="53" spans="1:15" x14ac:dyDescent="0.25">
      <c r="A53" s="48" t="s">
        <v>225</v>
      </c>
      <c r="D53">
        <v>45</v>
      </c>
      <c r="E53">
        <v>1</v>
      </c>
      <c r="F53" t="str">
        <f>IF($D53&gt;NumRow, "",IFERROR(IF(SelectFedGrant="*",$D53, _xlfn.AGGREGATE(15,6,(1/(FedGrant_Data[Grant Name] = SelectFedGrant))*ROW(FedGrant_Data[Grant Name]), $D53)-TopRow), ""))</f>
        <v/>
      </c>
      <c r="M53">
        <v>45</v>
      </c>
      <c r="N53">
        <v>1</v>
      </c>
      <c r="O53" t="str">
        <f>IF($M53 &gt; FPWA_NumRow, "", IFERROR(IF(SelectMemberOrg = "*", $M53, _xlfn.AGGREGATE(15, 6, (1/(MemberOrg_Data[Auditee Name] = SelectMemberOrg))*ROW(MemberOrg_Data[Auditee Name]), $M53)-FPWA_TopRow), ""))</f>
        <v/>
      </c>
    </row>
    <row r="54" spans="1:15" x14ac:dyDescent="0.25">
      <c r="A54" s="48" t="s">
        <v>210</v>
      </c>
      <c r="D54">
        <v>46</v>
      </c>
      <c r="E54">
        <v>1</v>
      </c>
      <c r="F54" t="str">
        <f>IF($D54&gt;NumRow, "",IFERROR(IF(SelectFedGrant="*",$D54, _xlfn.AGGREGATE(15,6,(1/(FedGrant_Data[Grant Name] = SelectFedGrant))*ROW(FedGrant_Data[Grant Name]), $D54)-TopRow), ""))</f>
        <v/>
      </c>
      <c r="M54">
        <v>46</v>
      </c>
      <c r="N54">
        <v>1</v>
      </c>
      <c r="O54" t="str">
        <f>IF($M54 &gt; FPWA_NumRow, "", IFERROR(IF(SelectMemberOrg = "*", $M54, _xlfn.AGGREGATE(15, 6, (1/(MemberOrg_Data[Auditee Name] = SelectMemberOrg))*ROW(MemberOrg_Data[Auditee Name]), $M54)-FPWA_TopRow), ""))</f>
        <v/>
      </c>
    </row>
    <row r="55" spans="1:15" x14ac:dyDescent="0.25">
      <c r="A55" s="48" t="s">
        <v>295</v>
      </c>
      <c r="D55">
        <v>47</v>
      </c>
      <c r="E55">
        <v>1</v>
      </c>
      <c r="F55" t="str">
        <f>IF($D55&gt;NumRow, "",IFERROR(IF(SelectFedGrant="*",$D55, _xlfn.AGGREGATE(15,6,(1/(FedGrant_Data[Grant Name] = SelectFedGrant))*ROW(FedGrant_Data[Grant Name]), $D55)-TopRow), ""))</f>
        <v/>
      </c>
      <c r="M55">
        <v>47</v>
      </c>
      <c r="N55">
        <v>1</v>
      </c>
      <c r="O55" t="str">
        <f>IF($M55 &gt; FPWA_NumRow, "", IFERROR(IF(SelectMemberOrg = "*", $M55, _xlfn.AGGREGATE(15, 6, (1/(MemberOrg_Data[Auditee Name] = SelectMemberOrg))*ROW(MemberOrg_Data[Auditee Name]), $M55)-FPWA_TopRow), ""))</f>
        <v/>
      </c>
    </row>
    <row r="56" spans="1:15" x14ac:dyDescent="0.25">
      <c r="A56" s="48" t="s">
        <v>308</v>
      </c>
      <c r="D56">
        <v>48</v>
      </c>
      <c r="E56">
        <v>1</v>
      </c>
      <c r="F56" t="str">
        <f>IF($D56&gt;NumRow, "",IFERROR(IF(SelectFedGrant="*",$D56, _xlfn.AGGREGATE(15,6,(1/(FedGrant_Data[Grant Name] = SelectFedGrant))*ROW(FedGrant_Data[Grant Name]), $D56)-TopRow), ""))</f>
        <v/>
      </c>
      <c r="M56">
        <v>48</v>
      </c>
      <c r="N56">
        <v>1</v>
      </c>
      <c r="O56" t="str">
        <f>IF($M56 &gt; FPWA_NumRow, "", IFERROR(IF(SelectMemberOrg = "*", $M56, _xlfn.AGGREGATE(15, 6, (1/(MemberOrg_Data[Auditee Name] = SelectMemberOrg))*ROW(MemberOrg_Data[Auditee Name]), $M56)-FPWA_TopRow), ""))</f>
        <v/>
      </c>
    </row>
    <row r="57" spans="1:15" x14ac:dyDescent="0.25">
      <c r="A57" s="48" t="s">
        <v>286</v>
      </c>
      <c r="D57">
        <v>49</v>
      </c>
      <c r="E57">
        <v>1</v>
      </c>
      <c r="F57" t="str">
        <f>IF($D57&gt;NumRow, "",IFERROR(IF(SelectFedGrant="*",$D57, _xlfn.AGGREGATE(15,6,(1/(FedGrant_Data[Grant Name] = SelectFedGrant))*ROW(FedGrant_Data[Grant Name]), $D57)-TopRow), ""))</f>
        <v/>
      </c>
      <c r="M57">
        <v>49</v>
      </c>
      <c r="N57">
        <v>1</v>
      </c>
      <c r="O57" t="str">
        <f>IF($M57 &gt; FPWA_NumRow, "", IFERROR(IF(SelectMemberOrg = "*", $M57, _xlfn.AGGREGATE(15, 6, (1/(MemberOrg_Data[Auditee Name] = SelectMemberOrg))*ROW(MemberOrg_Data[Auditee Name]), $M57)-FPWA_TopRow), ""))</f>
        <v/>
      </c>
    </row>
    <row r="58" spans="1:15" x14ac:dyDescent="0.25">
      <c r="A58" s="48" t="s">
        <v>208</v>
      </c>
      <c r="D58">
        <v>50</v>
      </c>
      <c r="E58">
        <v>1</v>
      </c>
      <c r="F58" t="str">
        <f>IF($D58&gt;NumRow, "",IFERROR(IF(SelectFedGrant="*",$D58, _xlfn.AGGREGATE(15,6,(1/(FedGrant_Data[Grant Name] = SelectFedGrant))*ROW(FedGrant_Data[Grant Name]), $D58)-TopRow), ""))</f>
        <v/>
      </c>
      <c r="M58">
        <v>50</v>
      </c>
      <c r="N58">
        <v>1</v>
      </c>
      <c r="O58" t="str">
        <f>IF($M58 &gt; FPWA_NumRow, "", IFERROR(IF(SelectMemberOrg = "*", $M58, _xlfn.AGGREGATE(15, 6, (1/(MemberOrg_Data[Auditee Name] = SelectMemberOrg))*ROW(MemberOrg_Data[Auditee Name]), $M58)-FPWA_TopRow), ""))</f>
        <v/>
      </c>
    </row>
    <row r="59" spans="1:15" x14ac:dyDescent="0.25">
      <c r="A59" s="48" t="s">
        <v>312</v>
      </c>
      <c r="D59">
        <v>51</v>
      </c>
      <c r="E59">
        <v>1</v>
      </c>
      <c r="F59" t="str">
        <f>IF($D59&gt;NumRow, "",IFERROR(IF(SelectFedGrant="*",$D59, _xlfn.AGGREGATE(15,6,(1/(FedGrant_Data[Grant Name] = SelectFedGrant))*ROW(FedGrant_Data[Grant Name]), $D59)-TopRow), ""))</f>
        <v/>
      </c>
      <c r="M59">
        <v>51</v>
      </c>
      <c r="N59">
        <v>1</v>
      </c>
      <c r="O59" t="str">
        <f>IF($M59 &gt; FPWA_NumRow, "", IFERROR(IF(SelectMemberOrg = "*", $M59, _xlfn.AGGREGATE(15, 6, (1/(MemberOrg_Data[Auditee Name] = SelectMemberOrg))*ROW(MemberOrg_Data[Auditee Name]), $M59)-FPWA_TopRow), ""))</f>
        <v/>
      </c>
    </row>
    <row r="60" spans="1:15" x14ac:dyDescent="0.25">
      <c r="A60" s="48" t="s">
        <v>314</v>
      </c>
      <c r="D60">
        <v>52</v>
      </c>
      <c r="E60">
        <v>1</v>
      </c>
      <c r="F60" t="str">
        <f>IF($D60&gt;NumRow, "",IFERROR(IF(SelectFedGrant="*",$D60, _xlfn.AGGREGATE(15,6,(1/(FedGrant_Data[Grant Name] = SelectFedGrant))*ROW(FedGrant_Data[Grant Name]), $D60)-TopRow), ""))</f>
        <v/>
      </c>
      <c r="M60">
        <v>52</v>
      </c>
      <c r="N60">
        <v>1</v>
      </c>
      <c r="O60" t="str">
        <f>IF($M60 &gt; FPWA_NumRow, "", IFERROR(IF(SelectMemberOrg = "*", $M60, _xlfn.AGGREGATE(15, 6, (1/(MemberOrg_Data[Auditee Name] = SelectMemberOrg))*ROW(MemberOrg_Data[Auditee Name]), $M60)-FPWA_TopRow), ""))</f>
        <v/>
      </c>
    </row>
    <row r="61" spans="1:15" x14ac:dyDescent="0.25">
      <c r="A61" s="48" t="s">
        <v>299</v>
      </c>
      <c r="D61">
        <v>53</v>
      </c>
      <c r="E61">
        <v>1</v>
      </c>
      <c r="F61" t="str">
        <f>IF($D61&gt;NumRow, "",IFERROR(IF(SelectFedGrant="*",$D61, _xlfn.AGGREGATE(15,6,(1/(FedGrant_Data[Grant Name] = SelectFedGrant))*ROW(FedGrant_Data[Grant Name]), $D61)-TopRow), ""))</f>
        <v/>
      </c>
      <c r="M61">
        <v>53</v>
      </c>
      <c r="N61">
        <v>1</v>
      </c>
      <c r="O61" t="str">
        <f>IF($M61 &gt; FPWA_NumRow, "", IFERROR(IF(SelectMemberOrg = "*", $M61, _xlfn.AGGREGATE(15, 6, (1/(MemberOrg_Data[Auditee Name] = SelectMemberOrg))*ROW(MemberOrg_Data[Auditee Name]), $M61)-FPWA_TopRow), ""))</f>
        <v/>
      </c>
    </row>
    <row r="62" spans="1:15" x14ac:dyDescent="0.25">
      <c r="A62" s="48" t="s">
        <v>290</v>
      </c>
      <c r="D62">
        <v>54</v>
      </c>
      <c r="E62">
        <v>1</v>
      </c>
      <c r="F62" t="str">
        <f>IF($D62&gt;NumRow, "",IFERROR(IF(SelectFedGrant="*",$D62, _xlfn.AGGREGATE(15,6,(1/(FedGrant_Data[Grant Name] = SelectFedGrant))*ROW(FedGrant_Data[Grant Name]), $D62)-TopRow), ""))</f>
        <v/>
      </c>
      <c r="M62">
        <v>54</v>
      </c>
      <c r="N62">
        <v>1</v>
      </c>
      <c r="O62" t="str">
        <f>IF($M62 &gt; FPWA_NumRow, "", IFERROR(IF(SelectMemberOrg = "*", $M62, _xlfn.AGGREGATE(15, 6, (1/(MemberOrg_Data[Auditee Name] = SelectMemberOrg))*ROW(MemberOrg_Data[Auditee Name]), $M62)-FPWA_TopRow), ""))</f>
        <v/>
      </c>
    </row>
    <row r="63" spans="1:15" x14ac:dyDescent="0.25">
      <c r="A63" s="48" t="s">
        <v>274</v>
      </c>
      <c r="D63">
        <v>55</v>
      </c>
      <c r="E63">
        <v>1</v>
      </c>
      <c r="F63" t="str">
        <f>IF($D63&gt;NumRow, "",IFERROR(IF(SelectFedGrant="*",$D63, _xlfn.AGGREGATE(15,6,(1/(FedGrant_Data[Grant Name] = SelectFedGrant))*ROW(FedGrant_Data[Grant Name]), $D63)-TopRow), ""))</f>
        <v/>
      </c>
      <c r="M63">
        <v>55</v>
      </c>
      <c r="N63">
        <v>1</v>
      </c>
      <c r="O63" t="str">
        <f>IF($M63 &gt; FPWA_NumRow, "", IFERROR(IF(SelectMemberOrg = "*", $M63, _xlfn.AGGREGATE(15, 6, (1/(MemberOrg_Data[Auditee Name] = SelectMemberOrg))*ROW(MemberOrg_Data[Auditee Name]), $M63)-FPWA_TopRow), ""))</f>
        <v/>
      </c>
    </row>
    <row r="64" spans="1:15" x14ac:dyDescent="0.25">
      <c r="A64" s="48" t="s">
        <v>218</v>
      </c>
      <c r="D64">
        <v>56</v>
      </c>
      <c r="E64">
        <v>1</v>
      </c>
      <c r="F64" t="str">
        <f>IF($D64&gt;NumRow, "",IFERROR(IF(SelectFedGrant="*",$D64, _xlfn.AGGREGATE(15,6,(1/(FedGrant_Data[Grant Name] = SelectFedGrant))*ROW(FedGrant_Data[Grant Name]), $D64)-TopRow), ""))</f>
        <v/>
      </c>
      <c r="M64">
        <v>56</v>
      </c>
      <c r="N64">
        <v>1</v>
      </c>
      <c r="O64" t="str">
        <f>IF($M64 &gt; FPWA_NumRow, "", IFERROR(IF(SelectMemberOrg = "*", $M64, _xlfn.AGGREGATE(15, 6, (1/(MemberOrg_Data[Auditee Name] = SelectMemberOrg))*ROW(MemberOrg_Data[Auditee Name]), $M64)-FPWA_TopRow), ""))</f>
        <v/>
      </c>
    </row>
    <row r="65" spans="1:15" x14ac:dyDescent="0.25">
      <c r="A65" s="48" t="s">
        <v>287</v>
      </c>
      <c r="D65">
        <v>57</v>
      </c>
      <c r="E65">
        <v>1</v>
      </c>
      <c r="F65" t="str">
        <f>IF($D65&gt;NumRow, "",IFERROR(IF(SelectFedGrant="*",$D65, _xlfn.AGGREGATE(15,6,(1/(FedGrant_Data[Grant Name] = SelectFedGrant))*ROW(FedGrant_Data[Grant Name]), $D65)-TopRow), ""))</f>
        <v/>
      </c>
      <c r="M65">
        <v>57</v>
      </c>
      <c r="N65">
        <v>1</v>
      </c>
      <c r="O65" t="str">
        <f>IF($M65 &gt; FPWA_NumRow, "", IFERROR(IF(SelectMemberOrg = "*", $M65, _xlfn.AGGREGATE(15, 6, (1/(MemberOrg_Data[Auditee Name] = SelectMemberOrg))*ROW(MemberOrg_Data[Auditee Name]), $M65)-FPWA_TopRow), ""))</f>
        <v/>
      </c>
    </row>
    <row r="66" spans="1:15" x14ac:dyDescent="0.25">
      <c r="A66" s="48" t="s">
        <v>272</v>
      </c>
      <c r="D66">
        <v>58</v>
      </c>
      <c r="E66">
        <v>1</v>
      </c>
      <c r="F66" t="str">
        <f>IF($D66&gt;NumRow, "",IFERROR(IF(SelectFedGrant="*",$D66, _xlfn.AGGREGATE(15,6,(1/(FedGrant_Data[Grant Name] = SelectFedGrant))*ROW(FedGrant_Data[Grant Name]), $D66)-TopRow), ""))</f>
        <v/>
      </c>
      <c r="M66">
        <v>58</v>
      </c>
      <c r="N66">
        <v>1</v>
      </c>
      <c r="O66" t="str">
        <f>IF($M66 &gt; FPWA_NumRow, "", IFERROR(IF(SelectMemberOrg = "*", $M66, _xlfn.AGGREGATE(15, 6, (1/(MemberOrg_Data[Auditee Name] = SelectMemberOrg))*ROW(MemberOrg_Data[Auditee Name]), $M66)-FPWA_TopRow), ""))</f>
        <v/>
      </c>
    </row>
    <row r="67" spans="1:15" x14ac:dyDescent="0.25">
      <c r="A67" s="48" t="s">
        <v>294</v>
      </c>
      <c r="D67">
        <v>59</v>
      </c>
      <c r="E67">
        <v>1</v>
      </c>
      <c r="F67" t="str">
        <f>IF($D67&gt;NumRow, "",IFERROR(IF(SelectFedGrant="*",$D67, _xlfn.AGGREGATE(15,6,(1/(FedGrant_Data[Grant Name] = SelectFedGrant))*ROW(FedGrant_Data[Grant Name]), $D67)-TopRow), ""))</f>
        <v/>
      </c>
      <c r="M67">
        <v>59</v>
      </c>
      <c r="N67">
        <v>1</v>
      </c>
      <c r="O67" t="str">
        <f>IF($M67 &gt; FPWA_NumRow, "", IFERROR(IF(SelectMemberOrg = "*", $M67, _xlfn.AGGREGATE(15, 6, (1/(MemberOrg_Data[Auditee Name] = SelectMemberOrg))*ROW(MemberOrg_Data[Auditee Name]), $M67)-FPWA_TopRow), ""))</f>
        <v/>
      </c>
    </row>
    <row r="68" spans="1:15" x14ac:dyDescent="0.25">
      <c r="A68" s="48" t="s">
        <v>302</v>
      </c>
      <c r="D68">
        <v>60</v>
      </c>
      <c r="E68">
        <v>1</v>
      </c>
      <c r="F68" t="str">
        <f>IF($D68&gt;NumRow, "",IFERROR(IF(SelectFedGrant="*",$D68, _xlfn.AGGREGATE(15,6,(1/(FedGrant_Data[Grant Name] = SelectFedGrant))*ROW(FedGrant_Data[Grant Name]), $D68)-TopRow), ""))</f>
        <v/>
      </c>
      <c r="M68">
        <v>60</v>
      </c>
      <c r="N68">
        <v>1</v>
      </c>
      <c r="O68" t="str">
        <f>IF($M68 &gt; FPWA_NumRow, "", IFERROR(IF(SelectMemberOrg = "*", $M68, _xlfn.AGGREGATE(15, 6, (1/(MemberOrg_Data[Auditee Name] = SelectMemberOrg))*ROW(MemberOrg_Data[Auditee Name]), $M68)-FPWA_TopRow), ""))</f>
        <v/>
      </c>
    </row>
    <row r="69" spans="1:15" x14ac:dyDescent="0.25">
      <c r="A69" s="48" t="s">
        <v>213</v>
      </c>
      <c r="D69">
        <v>61</v>
      </c>
      <c r="E69">
        <v>1</v>
      </c>
      <c r="F69" t="str">
        <f>IF($D69&gt;NumRow, "",IFERROR(IF(SelectFedGrant="*",$D69, _xlfn.AGGREGATE(15,6,(1/(FedGrant_Data[Grant Name] = SelectFedGrant))*ROW(FedGrant_Data[Grant Name]), $D69)-TopRow), ""))</f>
        <v/>
      </c>
      <c r="M69">
        <v>61</v>
      </c>
      <c r="N69">
        <v>1</v>
      </c>
      <c r="O69" t="str">
        <f>IF($M69 &gt; FPWA_NumRow, "", IFERROR(IF(SelectMemberOrg = "*", $M69, _xlfn.AGGREGATE(15, 6, (1/(MemberOrg_Data[Auditee Name] = SelectMemberOrg))*ROW(MemberOrg_Data[Auditee Name]), $M69)-FPWA_TopRow), ""))</f>
        <v/>
      </c>
    </row>
    <row r="70" spans="1:15" x14ac:dyDescent="0.25">
      <c r="A70" s="48" t="s">
        <v>231</v>
      </c>
      <c r="D70">
        <v>62</v>
      </c>
      <c r="E70">
        <v>1</v>
      </c>
      <c r="F70" t="str">
        <f>IF($D70&gt;NumRow, "",IFERROR(IF(SelectFedGrant="*",$D70, _xlfn.AGGREGATE(15,6,(1/(FedGrant_Data[Grant Name] = SelectFedGrant))*ROW(FedGrant_Data[Grant Name]), $D70)-TopRow), ""))</f>
        <v/>
      </c>
      <c r="M70">
        <v>62</v>
      </c>
      <c r="N70">
        <v>1</v>
      </c>
      <c r="O70" t="str">
        <f>IF($M70 &gt; FPWA_NumRow, "", IFERROR(IF(SelectMemberOrg = "*", $M70, _xlfn.AGGREGATE(15, 6, (1/(MemberOrg_Data[Auditee Name] = SelectMemberOrg))*ROW(MemberOrg_Data[Auditee Name]), $M70)-FPWA_TopRow), ""))</f>
        <v/>
      </c>
    </row>
    <row r="71" spans="1:15" x14ac:dyDescent="0.25">
      <c r="A71" s="48" t="s">
        <v>273</v>
      </c>
      <c r="D71">
        <v>63</v>
      </c>
      <c r="E71">
        <v>1</v>
      </c>
      <c r="F71" t="str">
        <f>IF($D71&gt;NumRow, "",IFERROR(IF(SelectFedGrant="*",$D71, _xlfn.AGGREGATE(15,6,(1/(FedGrant_Data[Grant Name] = SelectFedGrant))*ROW(FedGrant_Data[Grant Name]), $D71)-TopRow), ""))</f>
        <v/>
      </c>
      <c r="M71">
        <v>63</v>
      </c>
      <c r="N71">
        <v>1</v>
      </c>
      <c r="O71" t="str">
        <f>IF($M71 &gt; FPWA_NumRow, "", IFERROR(IF(SelectMemberOrg = "*", $M71, _xlfn.AGGREGATE(15, 6, (1/(MemberOrg_Data[Auditee Name] = SelectMemberOrg))*ROW(MemberOrg_Data[Auditee Name]), $M71)-FPWA_TopRow), ""))</f>
        <v/>
      </c>
    </row>
    <row r="72" spans="1:15" x14ac:dyDescent="0.25">
      <c r="A72" s="48" t="s">
        <v>282</v>
      </c>
      <c r="D72">
        <v>64</v>
      </c>
      <c r="E72">
        <v>1</v>
      </c>
      <c r="F72" t="str">
        <f>IF($D72&gt;NumRow, "",IFERROR(IF(SelectFedGrant="*",$D72, _xlfn.AGGREGATE(15,6,(1/(FedGrant_Data[Grant Name] = SelectFedGrant))*ROW(FedGrant_Data[Grant Name]), $D72)-TopRow), ""))</f>
        <v/>
      </c>
      <c r="M72">
        <v>64</v>
      </c>
      <c r="N72">
        <v>1</v>
      </c>
      <c r="O72" t="str">
        <f>IF($M72 &gt; FPWA_NumRow, "", IFERROR(IF(SelectMemberOrg = "*", $M72, _xlfn.AGGREGATE(15, 6, (1/(MemberOrg_Data[Auditee Name] = SelectMemberOrg))*ROW(MemberOrg_Data[Auditee Name]), $M72)-FPWA_TopRow), ""))</f>
        <v/>
      </c>
    </row>
    <row r="73" spans="1:15" x14ac:dyDescent="0.25">
      <c r="A73" s="48" t="s">
        <v>283</v>
      </c>
      <c r="D73">
        <v>65</v>
      </c>
      <c r="E73">
        <v>1</v>
      </c>
      <c r="F73" t="str">
        <f>IF($D73&gt;NumRow, "",IFERROR(IF(SelectFedGrant="*",$D73, _xlfn.AGGREGATE(15,6,(1/(FedGrant_Data[Grant Name] = SelectFedGrant))*ROW(FedGrant_Data[Grant Name]), $D73)-TopRow), ""))</f>
        <v/>
      </c>
      <c r="M73">
        <v>65</v>
      </c>
      <c r="N73">
        <v>1</v>
      </c>
      <c r="O73" t="str">
        <f>IF($M73 &gt; FPWA_NumRow, "", IFERROR(IF(SelectMemberOrg = "*", $M73, _xlfn.AGGREGATE(15, 6, (1/(MemberOrg_Data[Auditee Name] = SelectMemberOrg))*ROW(MemberOrg_Data[Auditee Name]), $M73)-FPWA_TopRow), ""))</f>
        <v/>
      </c>
    </row>
    <row r="74" spans="1:15" x14ac:dyDescent="0.25">
      <c r="A74" s="48" t="s">
        <v>107</v>
      </c>
      <c r="D74">
        <v>66</v>
      </c>
      <c r="E74">
        <v>1</v>
      </c>
      <c r="F74" t="str">
        <f>IF($D74&gt;NumRow, "",IFERROR(IF(SelectFedGrant="*",$D74, _xlfn.AGGREGATE(15,6,(1/(FedGrant_Data[Grant Name] = SelectFedGrant))*ROW(FedGrant_Data[Grant Name]), $D74)-TopRow), ""))</f>
        <v/>
      </c>
      <c r="M74">
        <v>66</v>
      </c>
      <c r="N74">
        <v>1</v>
      </c>
      <c r="O74" t="str">
        <f>IF($M74 &gt; FPWA_NumRow, "", IFERROR(IF(SelectMemberOrg = "*", $M74, _xlfn.AGGREGATE(15, 6, (1/(MemberOrg_Data[Auditee Name] = SelectMemberOrg))*ROW(MemberOrg_Data[Auditee Name]), $M74)-FPWA_TopRow), ""))</f>
        <v/>
      </c>
    </row>
    <row r="75" spans="1:15" x14ac:dyDescent="0.25">
      <c r="D75">
        <v>67</v>
      </c>
      <c r="E75">
        <v>1</v>
      </c>
      <c r="F75" t="str">
        <f>IF($D75&gt;NumRow, "",IFERROR(IF(SelectFedGrant="*",$D75, _xlfn.AGGREGATE(15,6,(1/(FedGrant_Data[Grant Name] = SelectFedGrant))*ROW(FedGrant_Data[Grant Name]), $D75)-TopRow), ""))</f>
        <v/>
      </c>
      <c r="M75">
        <v>67</v>
      </c>
      <c r="N75">
        <v>1</v>
      </c>
      <c r="O75" t="str">
        <f>IF($M75 &gt; FPWA_NumRow, "", IFERROR(IF(SelectMemberOrg = "*", $M75, _xlfn.AGGREGATE(15, 6, (1/(MemberOrg_Data[Auditee Name] = SelectMemberOrg))*ROW(MemberOrg_Data[Auditee Name]), $M75)-FPWA_TopRow), ""))</f>
        <v/>
      </c>
    </row>
    <row r="76" spans="1:15" x14ac:dyDescent="0.25">
      <c r="D76">
        <v>68</v>
      </c>
      <c r="E76">
        <v>1</v>
      </c>
      <c r="F76" t="str">
        <f>IF($D76&gt;NumRow, "",IFERROR(IF(SelectFedGrant="*",$D76, _xlfn.AGGREGATE(15,6,(1/(FedGrant_Data[Grant Name] = SelectFedGrant))*ROW(FedGrant_Data[Grant Name]), $D76)-TopRow), ""))</f>
        <v/>
      </c>
      <c r="M76">
        <v>68</v>
      </c>
      <c r="N76">
        <v>1</v>
      </c>
      <c r="O76" t="str">
        <f>IF($M76 &gt; FPWA_NumRow, "", IFERROR(IF(SelectMemberOrg = "*", $M76, _xlfn.AGGREGATE(15, 6, (1/(MemberOrg_Data[Auditee Name] = SelectMemberOrg))*ROW(MemberOrg_Data[Auditee Name]), $M76)-FPWA_TopRow), ""))</f>
        <v/>
      </c>
    </row>
    <row r="77" spans="1:15" x14ac:dyDescent="0.25">
      <c r="D77">
        <v>69</v>
      </c>
      <c r="E77">
        <v>1</v>
      </c>
      <c r="F77" t="str">
        <f>IF($D77&gt;NumRow, "",IFERROR(IF(SelectFedGrant="*",$D77, _xlfn.AGGREGATE(15,6,(1/(FedGrant_Data[Grant Name] = SelectFedGrant))*ROW(FedGrant_Data[Grant Name]), $D77)-TopRow), ""))</f>
        <v/>
      </c>
      <c r="M77">
        <v>69</v>
      </c>
      <c r="N77">
        <v>1</v>
      </c>
      <c r="O77" t="str">
        <f>IF($M77 &gt; FPWA_NumRow, "", IFERROR(IF(SelectMemberOrg = "*", $M77, _xlfn.AGGREGATE(15, 6, (1/(MemberOrg_Data[Auditee Name] = SelectMemberOrg))*ROW(MemberOrg_Data[Auditee Name]), $M77)-FPWA_TopRow), ""))</f>
        <v/>
      </c>
    </row>
    <row r="78" spans="1:15" x14ac:dyDescent="0.25">
      <c r="D78">
        <v>70</v>
      </c>
      <c r="E78">
        <v>1</v>
      </c>
      <c r="F78" t="str">
        <f>IF($D78&gt;NumRow, "",IFERROR(IF(SelectFedGrant="*",$D78, _xlfn.AGGREGATE(15,6,(1/(FedGrant_Data[Grant Name] = SelectFedGrant))*ROW(FedGrant_Data[Grant Name]), $D78)-TopRow), ""))</f>
        <v/>
      </c>
      <c r="M78">
        <v>70</v>
      </c>
      <c r="N78">
        <v>1</v>
      </c>
      <c r="O78" t="str">
        <f>IF($M78 &gt; FPWA_NumRow, "", IFERROR(IF(SelectMemberOrg = "*", $M78, _xlfn.AGGREGATE(15, 6, (1/(MemberOrg_Data[Auditee Name] = SelectMemberOrg))*ROW(MemberOrg_Data[Auditee Name]), $M78)-FPWA_TopRow), ""))</f>
        <v/>
      </c>
    </row>
    <row r="79" spans="1:15" x14ac:dyDescent="0.25">
      <c r="D79">
        <v>71</v>
      </c>
      <c r="E79">
        <v>1</v>
      </c>
      <c r="F79" t="str">
        <f>IF($D79&gt;NumRow, "",IFERROR(IF(SelectFedGrant="*",$D79, _xlfn.AGGREGATE(15,6,(1/(FedGrant_Data[Grant Name] = SelectFedGrant))*ROW(FedGrant_Data[Grant Name]), $D79)-TopRow), ""))</f>
        <v/>
      </c>
      <c r="M79">
        <v>71</v>
      </c>
      <c r="N79">
        <v>1</v>
      </c>
      <c r="O79" t="str">
        <f>IF($M79 &gt; FPWA_NumRow, "", IFERROR(IF(SelectMemberOrg = "*", $M79, _xlfn.AGGREGATE(15, 6, (1/(MemberOrg_Data[Auditee Name] = SelectMemberOrg))*ROW(MemberOrg_Data[Auditee Name]), $M79)-FPWA_TopRow), ""))</f>
        <v/>
      </c>
    </row>
    <row r="80" spans="1:15" x14ac:dyDescent="0.25">
      <c r="D80">
        <v>72</v>
      </c>
      <c r="E80">
        <v>1</v>
      </c>
      <c r="F80" t="str">
        <f>IF($D80&gt;NumRow, "",IFERROR(IF(SelectFedGrant="*",$D80, _xlfn.AGGREGATE(15,6,(1/(FedGrant_Data[Grant Name] = SelectFedGrant))*ROW(FedGrant_Data[Grant Name]), $D80)-TopRow), ""))</f>
        <v/>
      </c>
      <c r="M80">
        <v>72</v>
      </c>
      <c r="N80">
        <v>1</v>
      </c>
      <c r="O80" t="str">
        <f>IF($M80 &gt; FPWA_NumRow, "", IFERROR(IF(SelectMemberOrg = "*", $M80, _xlfn.AGGREGATE(15, 6, (1/(MemberOrg_Data[Auditee Name] = SelectMemberOrg))*ROW(MemberOrg_Data[Auditee Name]), $M80)-FPWA_TopRow), ""))</f>
        <v/>
      </c>
    </row>
    <row r="81" spans="4:15" x14ac:dyDescent="0.25">
      <c r="D81">
        <v>73</v>
      </c>
      <c r="E81">
        <v>1</v>
      </c>
      <c r="F81" t="str">
        <f>IF($D81&gt;NumRow, "",IFERROR(IF(SelectFedGrant="*",$D81, _xlfn.AGGREGATE(15,6,(1/(FedGrant_Data[Grant Name] = SelectFedGrant))*ROW(FedGrant_Data[Grant Name]), $D81)-TopRow), ""))</f>
        <v/>
      </c>
      <c r="M81">
        <v>73</v>
      </c>
      <c r="N81">
        <v>1</v>
      </c>
      <c r="O81" t="str">
        <f>IF($M81 &gt; FPWA_NumRow, "", IFERROR(IF(SelectMemberOrg = "*", $M81, _xlfn.AGGREGATE(15, 6, (1/(MemberOrg_Data[Auditee Name] = SelectMemberOrg))*ROW(MemberOrg_Data[Auditee Name]), $M81)-FPWA_TopRow), ""))</f>
        <v/>
      </c>
    </row>
    <row r="82" spans="4:15" x14ac:dyDescent="0.25">
      <c r="D82">
        <v>74</v>
      </c>
      <c r="E82">
        <v>1</v>
      </c>
      <c r="F82" t="str">
        <f>IF($D82&gt;NumRow, "",IFERROR(IF(SelectFedGrant="*",$D82, _xlfn.AGGREGATE(15,6,(1/(FedGrant_Data[Grant Name] = SelectFedGrant))*ROW(FedGrant_Data[Grant Name]), $D82)-TopRow), ""))</f>
        <v/>
      </c>
      <c r="M82">
        <v>74</v>
      </c>
      <c r="N82">
        <v>1</v>
      </c>
      <c r="O82" t="str">
        <f>IF($M82 &gt; FPWA_NumRow, "", IFERROR(IF(SelectMemberOrg = "*", $M82, _xlfn.AGGREGATE(15, 6, (1/(MemberOrg_Data[Auditee Name] = SelectMemberOrg))*ROW(MemberOrg_Data[Auditee Name]), $M82)-FPWA_TopRow), ""))</f>
        <v/>
      </c>
    </row>
    <row r="83" spans="4:15" x14ac:dyDescent="0.25">
      <c r="D83">
        <v>75</v>
      </c>
      <c r="E83">
        <v>1</v>
      </c>
      <c r="F83" t="str">
        <f>IF($D83&gt;NumRow, "",IFERROR(IF(SelectFedGrant="*",$D83, _xlfn.AGGREGATE(15,6,(1/(FedGrant_Data[Grant Name] = SelectFedGrant))*ROW(FedGrant_Data[Grant Name]), $D83)-TopRow), ""))</f>
        <v/>
      </c>
      <c r="M83">
        <v>75</v>
      </c>
      <c r="N83">
        <v>1</v>
      </c>
      <c r="O83" t="str">
        <f>IF($M83 &gt; FPWA_NumRow, "", IFERROR(IF(SelectMemberOrg = "*", $M83, _xlfn.AGGREGATE(15, 6, (1/(MemberOrg_Data[Auditee Name] = SelectMemberOrg))*ROW(MemberOrg_Data[Auditee Name]), $M83)-FPWA_TopRow), ""))</f>
        <v/>
      </c>
    </row>
    <row r="84" spans="4:15" x14ac:dyDescent="0.25">
      <c r="D84">
        <v>76</v>
      </c>
      <c r="E84">
        <v>1</v>
      </c>
      <c r="F84" t="str">
        <f>IF($D84&gt;NumRow, "",IFERROR(IF(SelectFedGrant="*",$D84, _xlfn.AGGREGATE(15,6,(1/(FedGrant_Data[Grant Name] = SelectFedGrant))*ROW(FedGrant_Data[Grant Name]), $D84)-TopRow), ""))</f>
        <v/>
      </c>
      <c r="M84">
        <v>76</v>
      </c>
      <c r="N84">
        <v>1</v>
      </c>
      <c r="O84" t="str">
        <f>IF($M84 &gt; FPWA_NumRow, "", IFERROR(IF(SelectMemberOrg = "*", $M84, _xlfn.AGGREGATE(15, 6, (1/(MemberOrg_Data[Auditee Name] = SelectMemberOrg))*ROW(MemberOrg_Data[Auditee Name]), $M84)-FPWA_TopRow), ""))</f>
        <v/>
      </c>
    </row>
    <row r="85" spans="4:15" x14ac:dyDescent="0.25">
      <c r="D85">
        <v>77</v>
      </c>
      <c r="E85">
        <v>1</v>
      </c>
      <c r="F85" t="str">
        <f>IF($D85&gt;NumRow, "",IFERROR(IF(SelectFedGrant="*",$D85, _xlfn.AGGREGATE(15,6,(1/(FedGrant_Data[Grant Name] = SelectFedGrant))*ROW(FedGrant_Data[Grant Name]), $D85)-TopRow), ""))</f>
        <v/>
      </c>
      <c r="M85">
        <v>77</v>
      </c>
      <c r="N85">
        <v>1</v>
      </c>
      <c r="O85" t="str">
        <f>IF($M85 &gt; FPWA_NumRow, "", IFERROR(IF(SelectMemberOrg = "*", $M85, _xlfn.AGGREGATE(15, 6, (1/(MemberOrg_Data[Auditee Name] = SelectMemberOrg))*ROW(MemberOrg_Data[Auditee Name]), $M85)-FPWA_TopRow), ""))</f>
        <v/>
      </c>
    </row>
    <row r="86" spans="4:15" x14ac:dyDescent="0.25">
      <c r="D86">
        <v>78</v>
      </c>
      <c r="E86">
        <v>1</v>
      </c>
      <c r="F86" t="str">
        <f>IF($D86&gt;NumRow, "",IFERROR(IF(SelectFedGrant="*",$D86, _xlfn.AGGREGATE(15,6,(1/(FedGrant_Data[Grant Name] = SelectFedGrant))*ROW(FedGrant_Data[Grant Name]), $D86)-TopRow), ""))</f>
        <v/>
      </c>
      <c r="M86">
        <v>78</v>
      </c>
      <c r="N86">
        <v>1</v>
      </c>
      <c r="O86" t="str">
        <f>IF($M86 &gt; FPWA_NumRow, "", IFERROR(IF(SelectMemberOrg = "*", $M86, _xlfn.AGGREGATE(15, 6, (1/(MemberOrg_Data[Auditee Name] = SelectMemberOrg))*ROW(MemberOrg_Data[Auditee Name]), $M86)-FPWA_TopRow), ""))</f>
        <v/>
      </c>
    </row>
    <row r="87" spans="4:15" x14ac:dyDescent="0.25">
      <c r="D87">
        <v>79</v>
      </c>
      <c r="E87">
        <v>1</v>
      </c>
      <c r="F87" t="str">
        <f>IF($D87&gt;NumRow, "",IFERROR(IF(SelectFedGrant="*",$D87, _xlfn.AGGREGATE(15,6,(1/(FedGrant_Data[Grant Name] = SelectFedGrant))*ROW(FedGrant_Data[Grant Name]), $D87)-TopRow), ""))</f>
        <v/>
      </c>
      <c r="M87">
        <v>79</v>
      </c>
      <c r="N87">
        <v>1</v>
      </c>
      <c r="O87" t="str">
        <f>IF($M87 &gt; FPWA_NumRow, "", IFERROR(IF(SelectMemberOrg = "*", $M87, _xlfn.AGGREGATE(15, 6, (1/(MemberOrg_Data[Auditee Name] = SelectMemberOrg))*ROW(MemberOrg_Data[Auditee Name]), $M87)-FPWA_TopRow), ""))</f>
        <v/>
      </c>
    </row>
    <row r="88" spans="4:15" x14ac:dyDescent="0.25">
      <c r="D88">
        <v>80</v>
      </c>
      <c r="E88">
        <v>1</v>
      </c>
      <c r="F88" t="str">
        <f>IF($D88&gt;NumRow, "",IFERROR(IF(SelectFedGrant="*",$D88, _xlfn.AGGREGATE(15,6,(1/(FedGrant_Data[Grant Name] = SelectFedGrant))*ROW(FedGrant_Data[Grant Name]), $D88)-TopRow), ""))</f>
        <v/>
      </c>
      <c r="M88">
        <v>80</v>
      </c>
      <c r="N88">
        <v>1</v>
      </c>
      <c r="O88" t="str">
        <f>IF($M88 &gt; FPWA_NumRow, "", IFERROR(IF(SelectMemberOrg = "*", $M88, _xlfn.AGGREGATE(15, 6, (1/(MemberOrg_Data[Auditee Name] = SelectMemberOrg))*ROW(MemberOrg_Data[Auditee Name]), $M88)-FPWA_TopRow), ""))</f>
        <v/>
      </c>
    </row>
    <row r="89" spans="4:15" x14ac:dyDescent="0.25">
      <c r="D89">
        <v>81</v>
      </c>
      <c r="E89">
        <v>1</v>
      </c>
      <c r="F89" t="str">
        <f>IF($D89&gt;NumRow, "",IFERROR(IF(SelectFedGrant="*",$D89, _xlfn.AGGREGATE(15,6,(1/(FedGrant_Data[Grant Name] = SelectFedGrant))*ROW(FedGrant_Data[Grant Name]), $D89)-TopRow), ""))</f>
        <v/>
      </c>
      <c r="M89">
        <v>81</v>
      </c>
      <c r="N89">
        <v>1</v>
      </c>
      <c r="O89" t="str">
        <f>IF($M89 &gt; FPWA_NumRow, "", IFERROR(IF(SelectMemberOrg = "*", $M89, _xlfn.AGGREGATE(15, 6, (1/(MemberOrg_Data[Auditee Name] = SelectMemberOrg))*ROW(MemberOrg_Data[Auditee Name]), $M89)-FPWA_TopRow), ""))</f>
        <v/>
      </c>
    </row>
    <row r="90" spans="4:15" x14ac:dyDescent="0.25">
      <c r="D90">
        <v>82</v>
      </c>
      <c r="E90">
        <v>1</v>
      </c>
      <c r="F90" t="str">
        <f>IF($D90&gt;NumRow, "",IFERROR(IF(SelectFedGrant="*",$D90, _xlfn.AGGREGATE(15,6,(1/(FedGrant_Data[Grant Name] = SelectFedGrant))*ROW(FedGrant_Data[Grant Name]), $D90)-TopRow), ""))</f>
        <v/>
      </c>
      <c r="M90">
        <v>82</v>
      </c>
      <c r="N90">
        <v>1</v>
      </c>
      <c r="O90" t="str">
        <f>IF($M90 &gt; FPWA_NumRow, "", IFERROR(IF(SelectMemberOrg = "*", $M90, _xlfn.AGGREGATE(15, 6, (1/(MemberOrg_Data[Auditee Name] = SelectMemberOrg))*ROW(MemberOrg_Data[Auditee Name]), $M90)-FPWA_TopRow), ""))</f>
        <v/>
      </c>
    </row>
    <row r="91" spans="4:15" x14ac:dyDescent="0.25">
      <c r="D91">
        <v>83</v>
      </c>
      <c r="E91">
        <v>1</v>
      </c>
      <c r="F91" t="str">
        <f>IF($D91&gt;NumRow, "",IFERROR(IF(SelectFedGrant="*",$D91, _xlfn.AGGREGATE(15,6,(1/(FedGrant_Data[Grant Name] = SelectFedGrant))*ROW(FedGrant_Data[Grant Name]), $D91)-TopRow), ""))</f>
        <v/>
      </c>
      <c r="M91">
        <v>83</v>
      </c>
      <c r="N91">
        <v>1</v>
      </c>
      <c r="O91" t="str">
        <f>IF($M91 &gt; FPWA_NumRow, "", IFERROR(IF(SelectMemberOrg = "*", $M91, _xlfn.AGGREGATE(15, 6, (1/(MemberOrg_Data[Auditee Name] = SelectMemberOrg))*ROW(MemberOrg_Data[Auditee Name]), $M91)-FPWA_TopRow), ""))</f>
        <v/>
      </c>
    </row>
    <row r="92" spans="4:15" x14ac:dyDescent="0.25">
      <c r="D92">
        <v>84</v>
      </c>
      <c r="E92">
        <v>1</v>
      </c>
      <c r="F92" t="str">
        <f>IF($D92&gt;NumRow, "",IFERROR(IF(SelectFedGrant="*",$D92, _xlfn.AGGREGATE(15,6,(1/(FedGrant_Data[Grant Name] = SelectFedGrant))*ROW(FedGrant_Data[Grant Name]), $D92)-TopRow), ""))</f>
        <v/>
      </c>
      <c r="M92">
        <v>84</v>
      </c>
      <c r="N92">
        <v>1</v>
      </c>
      <c r="O92" t="str">
        <f>IF($M92 &gt; FPWA_NumRow, "", IFERROR(IF(SelectMemberOrg = "*", $M92, _xlfn.AGGREGATE(15, 6, (1/(MemberOrg_Data[Auditee Name] = SelectMemberOrg))*ROW(MemberOrg_Data[Auditee Name]), $M92)-FPWA_TopRow), ""))</f>
        <v/>
      </c>
    </row>
    <row r="93" spans="4:15" x14ac:dyDescent="0.25">
      <c r="D93">
        <v>85</v>
      </c>
      <c r="E93">
        <v>1</v>
      </c>
      <c r="F93" t="str">
        <f>IF($D93&gt;NumRow, "",IFERROR(IF(SelectFedGrant="*",$D93, _xlfn.AGGREGATE(15,6,(1/(FedGrant_Data[Grant Name] = SelectFedGrant))*ROW(FedGrant_Data[Grant Name]), $D93)-TopRow), ""))</f>
        <v/>
      </c>
      <c r="M93">
        <v>85</v>
      </c>
      <c r="N93">
        <v>1</v>
      </c>
      <c r="O93" t="str">
        <f>IF($M93 &gt; FPWA_NumRow, "", IFERROR(IF(SelectMemberOrg = "*", $M93, _xlfn.AGGREGATE(15, 6, (1/(MemberOrg_Data[Auditee Name] = SelectMemberOrg))*ROW(MemberOrg_Data[Auditee Name]), $M93)-FPWA_TopRow), ""))</f>
        <v/>
      </c>
    </row>
    <row r="94" spans="4:15" x14ac:dyDescent="0.25">
      <c r="D94">
        <v>86</v>
      </c>
      <c r="E94">
        <v>1</v>
      </c>
      <c r="F94" t="str">
        <f>IF($D94&gt;NumRow, "",IFERROR(IF(SelectFedGrant="*",$D94, _xlfn.AGGREGATE(15,6,(1/(FedGrant_Data[Grant Name] = SelectFedGrant))*ROW(FedGrant_Data[Grant Name]), $D94)-TopRow), ""))</f>
        <v/>
      </c>
      <c r="M94">
        <v>86</v>
      </c>
      <c r="N94">
        <v>1</v>
      </c>
      <c r="O94" t="str">
        <f>IF($M94 &gt; FPWA_NumRow, "", IFERROR(IF(SelectMemberOrg = "*", $M94, _xlfn.AGGREGATE(15, 6, (1/(MemberOrg_Data[Auditee Name] = SelectMemberOrg))*ROW(MemberOrg_Data[Auditee Name]), $M94)-FPWA_TopRow), ""))</f>
        <v/>
      </c>
    </row>
    <row r="95" spans="4:15" x14ac:dyDescent="0.25">
      <c r="D95">
        <v>87</v>
      </c>
      <c r="E95">
        <v>1</v>
      </c>
      <c r="F95" t="str">
        <f>IF($D95&gt;NumRow, "",IFERROR(IF(SelectFedGrant="*",$D95, _xlfn.AGGREGATE(15,6,(1/(FedGrant_Data[Grant Name] = SelectFedGrant))*ROW(FedGrant_Data[Grant Name]), $D95)-TopRow), ""))</f>
        <v/>
      </c>
      <c r="M95">
        <v>87</v>
      </c>
      <c r="N95">
        <v>1</v>
      </c>
      <c r="O95" t="str">
        <f>IF($M95 &gt; FPWA_NumRow, "", IFERROR(IF(SelectMemberOrg = "*", $M95, _xlfn.AGGREGATE(15, 6, (1/(MemberOrg_Data[Auditee Name] = SelectMemberOrg))*ROW(MemberOrg_Data[Auditee Name]), $M95)-FPWA_TopRow), ""))</f>
        <v/>
      </c>
    </row>
    <row r="96" spans="4:15" x14ac:dyDescent="0.25">
      <c r="D96">
        <v>88</v>
      </c>
      <c r="E96">
        <v>1</v>
      </c>
      <c r="F96" t="str">
        <f>IF($D96&gt;NumRow, "",IFERROR(IF(SelectFedGrant="*",$D96, _xlfn.AGGREGATE(15,6,(1/(FedGrant_Data[Grant Name] = SelectFedGrant))*ROW(FedGrant_Data[Grant Name]), $D96)-TopRow), ""))</f>
        <v/>
      </c>
      <c r="M96">
        <v>88</v>
      </c>
      <c r="N96">
        <v>1</v>
      </c>
      <c r="O96" t="str">
        <f>IF($M96 &gt; FPWA_NumRow, "", IFERROR(IF(SelectMemberOrg = "*", $M96, _xlfn.AGGREGATE(15, 6, (1/(MemberOrg_Data[Auditee Name] = SelectMemberOrg))*ROW(MemberOrg_Data[Auditee Name]), $M96)-FPWA_TopRow), ""))</f>
        <v/>
      </c>
    </row>
    <row r="97" spans="4:15" x14ac:dyDescent="0.25">
      <c r="D97">
        <v>89</v>
      </c>
      <c r="E97">
        <v>1</v>
      </c>
      <c r="F97" t="str">
        <f>IF($D97&gt;NumRow, "",IFERROR(IF(SelectFedGrant="*",$D97, _xlfn.AGGREGATE(15,6,(1/(FedGrant_Data[Grant Name] = SelectFedGrant))*ROW(FedGrant_Data[Grant Name]), $D97)-TopRow), ""))</f>
        <v/>
      </c>
      <c r="M97">
        <v>89</v>
      </c>
      <c r="N97">
        <v>1</v>
      </c>
      <c r="O97" t="str">
        <f>IF($M97 &gt; FPWA_NumRow, "", IFERROR(IF(SelectMemberOrg = "*", $M97, _xlfn.AGGREGATE(15, 6, (1/(MemberOrg_Data[Auditee Name] = SelectMemberOrg))*ROW(MemberOrg_Data[Auditee Name]), $M97)-FPWA_TopRow), ""))</f>
        <v/>
      </c>
    </row>
    <row r="98" spans="4:15" x14ac:dyDescent="0.25">
      <c r="D98">
        <v>90</v>
      </c>
      <c r="E98">
        <v>1</v>
      </c>
      <c r="F98" t="str">
        <f>IF($D98&gt;NumRow, "",IFERROR(IF(SelectFedGrant="*",$D98, _xlfn.AGGREGATE(15,6,(1/(FedGrant_Data[Grant Name] = SelectFedGrant))*ROW(FedGrant_Data[Grant Name]), $D98)-TopRow), ""))</f>
        <v/>
      </c>
      <c r="M98">
        <v>90</v>
      </c>
      <c r="N98">
        <v>1</v>
      </c>
      <c r="O98" t="str">
        <f>IF($M98 &gt; FPWA_NumRow, "", IFERROR(IF(SelectMemberOrg = "*", $M98, _xlfn.AGGREGATE(15, 6, (1/(MemberOrg_Data[Auditee Name] = SelectMemberOrg))*ROW(MemberOrg_Data[Auditee Name]), $M98)-FPWA_TopRow), ""))</f>
        <v/>
      </c>
    </row>
    <row r="99" spans="4:15" x14ac:dyDescent="0.25">
      <c r="D99">
        <v>91</v>
      </c>
      <c r="E99">
        <v>1</v>
      </c>
      <c r="F99" t="str">
        <f>IF($D99&gt;NumRow, "",IFERROR(IF(SelectFedGrant="*",$D99, _xlfn.AGGREGATE(15,6,(1/(FedGrant_Data[Grant Name] = SelectFedGrant))*ROW(FedGrant_Data[Grant Name]), $D99)-TopRow), ""))</f>
        <v/>
      </c>
      <c r="M99">
        <v>91</v>
      </c>
      <c r="N99">
        <v>1</v>
      </c>
      <c r="O99" t="str">
        <f>IF($M99 &gt; FPWA_NumRow, "", IFERROR(IF(SelectMemberOrg = "*", $M99, _xlfn.AGGREGATE(15, 6, (1/(MemberOrg_Data[Auditee Name] = SelectMemberOrg))*ROW(MemberOrg_Data[Auditee Name]), $M99)-FPWA_TopRow), ""))</f>
        <v/>
      </c>
    </row>
    <row r="100" spans="4:15" x14ac:dyDescent="0.25">
      <c r="D100">
        <v>92</v>
      </c>
      <c r="E100">
        <v>1</v>
      </c>
      <c r="F100" t="str">
        <f>IF($D100&gt;NumRow, "",IFERROR(IF(SelectFedGrant="*",$D100, _xlfn.AGGREGATE(15,6,(1/(FedGrant_Data[Grant Name] = SelectFedGrant))*ROW(FedGrant_Data[Grant Name]), $D100)-TopRow), ""))</f>
        <v/>
      </c>
      <c r="M100">
        <v>92</v>
      </c>
      <c r="N100">
        <v>1</v>
      </c>
      <c r="O100" t="str">
        <f>IF($M100 &gt; FPWA_NumRow, "", IFERROR(IF(SelectMemberOrg = "*", $M100, _xlfn.AGGREGATE(15, 6, (1/(MemberOrg_Data[Auditee Name] = SelectMemberOrg))*ROW(MemberOrg_Data[Auditee Name]), $M100)-FPWA_TopRow), ""))</f>
        <v/>
      </c>
    </row>
    <row r="101" spans="4:15" x14ac:dyDescent="0.25">
      <c r="D101">
        <v>93</v>
      </c>
      <c r="E101">
        <v>1</v>
      </c>
      <c r="F101" t="str">
        <f>IF($D101&gt;NumRow, "",IFERROR(IF(SelectFedGrant="*",$D101, _xlfn.AGGREGATE(15,6,(1/(FedGrant_Data[Grant Name] = SelectFedGrant))*ROW(FedGrant_Data[Grant Name]), $D101)-TopRow), ""))</f>
        <v/>
      </c>
      <c r="M101">
        <v>93</v>
      </c>
      <c r="N101">
        <v>1</v>
      </c>
      <c r="O101" t="str">
        <f>IF($M101 &gt; FPWA_NumRow, "", IFERROR(IF(SelectMemberOrg = "*", $M101, _xlfn.AGGREGATE(15, 6, (1/(MemberOrg_Data[Auditee Name] = SelectMemberOrg))*ROW(MemberOrg_Data[Auditee Name]), $M101)-FPWA_TopRow), ""))</f>
        <v/>
      </c>
    </row>
    <row r="102" spans="4:15" x14ac:dyDescent="0.25">
      <c r="D102">
        <v>94</v>
      </c>
      <c r="E102">
        <v>1</v>
      </c>
      <c r="F102" t="str">
        <f>IF($D102&gt;NumRow, "",IFERROR(IF(SelectFedGrant="*",$D102, _xlfn.AGGREGATE(15,6,(1/(FedGrant_Data[Grant Name] = SelectFedGrant))*ROW(FedGrant_Data[Grant Name]), $D102)-TopRow), ""))</f>
        <v/>
      </c>
      <c r="M102">
        <v>94</v>
      </c>
      <c r="N102">
        <v>1</v>
      </c>
      <c r="O102" t="str">
        <f>IF($M102 &gt; FPWA_NumRow, "", IFERROR(IF(SelectMemberOrg = "*", $M102, _xlfn.AGGREGATE(15, 6, (1/(MemberOrg_Data[Auditee Name] = SelectMemberOrg))*ROW(MemberOrg_Data[Auditee Name]), $M102)-FPWA_TopRow), ""))</f>
        <v/>
      </c>
    </row>
    <row r="103" spans="4:15" x14ac:dyDescent="0.25">
      <c r="D103">
        <v>95</v>
      </c>
      <c r="E103">
        <v>1</v>
      </c>
      <c r="F103" t="str">
        <f>IF($D103&gt;NumRow, "",IFERROR(IF(SelectFedGrant="*",$D103, _xlfn.AGGREGATE(15,6,(1/(FedGrant_Data[Grant Name] = SelectFedGrant))*ROW(FedGrant_Data[Grant Name]), $D103)-TopRow), ""))</f>
        <v/>
      </c>
      <c r="M103">
        <v>95</v>
      </c>
      <c r="N103">
        <v>1</v>
      </c>
      <c r="O103" t="str">
        <f>IF($M103 &gt; FPWA_NumRow, "", IFERROR(IF(SelectMemberOrg = "*", $M103, _xlfn.AGGREGATE(15, 6, (1/(MemberOrg_Data[Auditee Name] = SelectMemberOrg))*ROW(MemberOrg_Data[Auditee Name]), $M103)-FPWA_TopRow), ""))</f>
        <v/>
      </c>
    </row>
    <row r="104" spans="4:15" x14ac:dyDescent="0.25">
      <c r="D104">
        <v>96</v>
      </c>
      <c r="E104">
        <v>1</v>
      </c>
      <c r="F104" t="str">
        <f>IF($D104&gt;NumRow, "",IFERROR(IF(SelectFedGrant="*",$D104, _xlfn.AGGREGATE(15,6,(1/(FedGrant_Data[Grant Name] = SelectFedGrant))*ROW(FedGrant_Data[Grant Name]), $D104)-TopRow), ""))</f>
        <v/>
      </c>
      <c r="M104">
        <v>96</v>
      </c>
      <c r="N104">
        <v>1</v>
      </c>
      <c r="O104" t="str">
        <f>IF($M104 &gt; FPWA_NumRow, "", IFERROR(IF(SelectMemberOrg = "*", $M104, _xlfn.AGGREGATE(15, 6, (1/(MemberOrg_Data[Auditee Name] = SelectMemberOrg))*ROW(MemberOrg_Data[Auditee Name]), $M104)-FPWA_TopRow), ""))</f>
        <v/>
      </c>
    </row>
    <row r="105" spans="4:15" x14ac:dyDescent="0.25">
      <c r="D105">
        <v>97</v>
      </c>
      <c r="E105">
        <v>1</v>
      </c>
      <c r="F105" t="str">
        <f>IF($D105&gt;NumRow, "",IFERROR(IF(SelectFedGrant="*",$D105, _xlfn.AGGREGATE(15,6,(1/(FedGrant_Data[Grant Name] = SelectFedGrant))*ROW(FedGrant_Data[Grant Name]), $D105)-TopRow), ""))</f>
        <v/>
      </c>
      <c r="M105">
        <v>97</v>
      </c>
      <c r="N105">
        <v>1</v>
      </c>
      <c r="O105" t="str">
        <f>IF($M105 &gt; FPWA_NumRow, "", IFERROR(IF(SelectMemberOrg = "*", $M105, _xlfn.AGGREGATE(15, 6, (1/(MemberOrg_Data[Auditee Name] = SelectMemberOrg))*ROW(MemberOrg_Data[Auditee Name]), $M105)-FPWA_TopRow), ""))</f>
        <v/>
      </c>
    </row>
    <row r="106" spans="4:15" x14ac:dyDescent="0.25">
      <c r="D106">
        <v>98</v>
      </c>
      <c r="E106">
        <v>1</v>
      </c>
      <c r="F106" t="str">
        <f>IF($D106&gt;NumRow, "",IFERROR(IF(SelectFedGrant="*",$D106, _xlfn.AGGREGATE(15,6,(1/(FedGrant_Data[Grant Name] = SelectFedGrant))*ROW(FedGrant_Data[Grant Name]), $D106)-TopRow), ""))</f>
        <v/>
      </c>
      <c r="M106">
        <v>98</v>
      </c>
      <c r="N106">
        <v>1</v>
      </c>
      <c r="O106" t="str">
        <f>IF($M106 &gt; FPWA_NumRow, "", IFERROR(IF(SelectMemberOrg = "*", $M106, _xlfn.AGGREGATE(15, 6, (1/(MemberOrg_Data[Auditee Name] = SelectMemberOrg))*ROW(MemberOrg_Data[Auditee Name]), $M106)-FPWA_TopRow), ""))</f>
        <v/>
      </c>
    </row>
    <row r="107" spans="4:15" x14ac:dyDescent="0.25">
      <c r="D107">
        <v>99</v>
      </c>
      <c r="E107">
        <v>1</v>
      </c>
      <c r="F107" t="str">
        <f>IF($D107&gt;NumRow, "",IFERROR(IF(SelectFedGrant="*",$D107, _xlfn.AGGREGATE(15,6,(1/(FedGrant_Data[Grant Name] = SelectFedGrant))*ROW(FedGrant_Data[Grant Name]), $D107)-TopRow), ""))</f>
        <v/>
      </c>
      <c r="M107">
        <v>99</v>
      </c>
      <c r="N107">
        <v>1</v>
      </c>
      <c r="O107" t="str">
        <f>IF($M107 &gt; FPWA_NumRow, "", IFERROR(IF(SelectMemberOrg = "*", $M107, _xlfn.AGGREGATE(15, 6, (1/(MemberOrg_Data[Auditee Name] = SelectMemberOrg))*ROW(MemberOrg_Data[Auditee Name]), $M107)-FPWA_TopRow), ""))</f>
        <v/>
      </c>
    </row>
    <row r="108" spans="4:15" x14ac:dyDescent="0.25">
      <c r="D108">
        <v>100</v>
      </c>
      <c r="E108">
        <v>1</v>
      </c>
      <c r="F108" t="str">
        <f>IF($D108&gt;NumRow, "",IFERROR(IF(SelectFedGrant="*",$D108, _xlfn.AGGREGATE(15,6,(1/(FedGrant_Data[Grant Name] = SelectFedGrant))*ROW(FedGrant_Data[Grant Name]), $D108)-TopRow), ""))</f>
        <v/>
      </c>
      <c r="M108">
        <v>100</v>
      </c>
      <c r="N108">
        <v>1</v>
      </c>
      <c r="O108" t="str">
        <f>IF($M108 &gt; FPWA_NumRow, "", IFERROR(IF(SelectMemberOrg = "*", $M108, _xlfn.AGGREGATE(15, 6, (1/(MemberOrg_Data[Auditee Name] = SelectMemberOrg))*ROW(MemberOrg_Data[Auditee Name]), $M108)-FPWA_TopRow), ""))</f>
        <v/>
      </c>
    </row>
    <row r="109" spans="4:15" x14ac:dyDescent="0.25">
      <c r="D109">
        <v>101</v>
      </c>
      <c r="E109">
        <v>1</v>
      </c>
      <c r="F109" t="str">
        <f>IF($D109&gt;NumRow, "",IFERROR(IF(SelectFedGrant="*",$D109, _xlfn.AGGREGATE(15,6,(1/(FedGrant_Data[Grant Name] = SelectFedGrant))*ROW(FedGrant_Data[Grant Name]), $D109)-TopRow), ""))</f>
        <v/>
      </c>
      <c r="M109">
        <v>101</v>
      </c>
      <c r="N109">
        <v>1</v>
      </c>
      <c r="O109" t="str">
        <f>IF($M109 &gt; FPWA_NumRow, "", IFERROR(IF(SelectMemberOrg = "*", $M109, _xlfn.AGGREGATE(15, 6, (1/(MemberOrg_Data[Auditee Name] = SelectMemberOrg))*ROW(MemberOrg_Data[Auditee Name]), $M109)-FPWA_TopRow), ""))</f>
        <v/>
      </c>
    </row>
    <row r="110" spans="4:15" x14ac:dyDescent="0.25">
      <c r="D110">
        <v>102</v>
      </c>
      <c r="E110">
        <v>1</v>
      </c>
      <c r="F110" t="str">
        <f>IF($D110&gt;NumRow, "",IFERROR(IF(SelectFedGrant="*",$D110, _xlfn.AGGREGATE(15,6,(1/(FedGrant_Data[Grant Name] = SelectFedGrant))*ROW(FedGrant_Data[Grant Name]), $D110)-TopRow), ""))</f>
        <v/>
      </c>
      <c r="M110">
        <v>102</v>
      </c>
      <c r="N110">
        <v>1</v>
      </c>
      <c r="O110" t="str">
        <f>IF($M110 &gt; FPWA_NumRow, "", IFERROR(IF(SelectMemberOrg = "*", $M110, _xlfn.AGGREGATE(15, 6, (1/(MemberOrg_Data[Auditee Name] = SelectMemberOrg))*ROW(MemberOrg_Data[Auditee Name]), $M110)-FPWA_TopRow), ""))</f>
        <v/>
      </c>
    </row>
    <row r="111" spans="4:15" x14ac:dyDescent="0.25">
      <c r="D111">
        <v>103</v>
      </c>
      <c r="E111">
        <v>1</v>
      </c>
      <c r="F111" t="str">
        <f>IF($D111&gt;NumRow, "",IFERROR(IF(SelectFedGrant="*",$D111, _xlfn.AGGREGATE(15,6,(1/(FedGrant_Data[Grant Name] = SelectFedGrant))*ROW(FedGrant_Data[Grant Name]), $D111)-TopRow), ""))</f>
        <v/>
      </c>
      <c r="M111">
        <v>103</v>
      </c>
      <c r="N111">
        <v>1</v>
      </c>
      <c r="O111" t="str">
        <f>IF($M111 &gt; FPWA_NumRow, "", IFERROR(IF(SelectMemberOrg = "*", $M111, _xlfn.AGGREGATE(15, 6, (1/(MemberOrg_Data[Auditee Name] = SelectMemberOrg))*ROW(MemberOrg_Data[Auditee Name]), $M111)-FPWA_TopRow), ""))</f>
        <v/>
      </c>
    </row>
    <row r="112" spans="4:15" x14ac:dyDescent="0.25">
      <c r="D112">
        <v>104</v>
      </c>
      <c r="E112">
        <v>1</v>
      </c>
      <c r="F112" t="str">
        <f>IF($D112&gt;NumRow, "",IFERROR(IF(SelectFedGrant="*",$D112, _xlfn.AGGREGATE(15,6,(1/(FedGrant_Data[Grant Name] = SelectFedGrant))*ROW(FedGrant_Data[Grant Name]), $D112)-TopRow), ""))</f>
        <v/>
      </c>
      <c r="M112">
        <v>104</v>
      </c>
      <c r="N112">
        <v>1</v>
      </c>
      <c r="O112" t="str">
        <f>IF($M112 &gt; FPWA_NumRow, "", IFERROR(IF(SelectMemberOrg = "*", $M112, _xlfn.AGGREGATE(15, 6, (1/(MemberOrg_Data[Auditee Name] = SelectMemberOrg))*ROW(MemberOrg_Data[Auditee Name]), $M112)-FPWA_TopRow), ""))</f>
        <v/>
      </c>
    </row>
    <row r="113" spans="4:15" x14ac:dyDescent="0.25">
      <c r="D113">
        <v>105</v>
      </c>
      <c r="E113">
        <v>1</v>
      </c>
      <c r="F113" t="str">
        <f>IF($D113&gt;NumRow, "",IFERROR(IF(SelectFedGrant="*",$D113, _xlfn.AGGREGATE(15,6,(1/(FedGrant_Data[Grant Name] = SelectFedGrant))*ROW(FedGrant_Data[Grant Name]), $D113)-TopRow), ""))</f>
        <v/>
      </c>
      <c r="M113">
        <v>105</v>
      </c>
      <c r="N113">
        <v>1</v>
      </c>
      <c r="O113" t="str">
        <f>IF($M113 &gt; FPWA_NumRow, "", IFERROR(IF(SelectMemberOrg = "*", $M113, _xlfn.AGGREGATE(15, 6, (1/(MemberOrg_Data[Auditee Name] = SelectMemberOrg))*ROW(MemberOrg_Data[Auditee Name]), $M113)-FPWA_TopRow), ""))</f>
        <v/>
      </c>
    </row>
    <row r="114" spans="4:15" x14ac:dyDescent="0.25">
      <c r="D114">
        <v>106</v>
      </c>
      <c r="E114">
        <v>1</v>
      </c>
      <c r="F114" t="str">
        <f>IF($D114&gt;NumRow, "",IFERROR(IF(SelectFedGrant="*",$D114, _xlfn.AGGREGATE(15,6,(1/(FedGrant_Data[Grant Name] = SelectFedGrant))*ROW(FedGrant_Data[Grant Name]), $D114)-TopRow), ""))</f>
        <v/>
      </c>
      <c r="M114">
        <v>106</v>
      </c>
      <c r="N114">
        <v>1</v>
      </c>
      <c r="O114" t="str">
        <f>IF($M114 &gt; FPWA_NumRow, "", IFERROR(IF(SelectMemberOrg = "*", $M114, _xlfn.AGGREGATE(15, 6, (1/(MemberOrg_Data[Auditee Name] = SelectMemberOrg))*ROW(MemberOrg_Data[Auditee Name]), $M114)-FPWA_TopRow), ""))</f>
        <v/>
      </c>
    </row>
    <row r="115" spans="4:15" x14ac:dyDescent="0.25">
      <c r="D115">
        <v>107</v>
      </c>
      <c r="E115">
        <v>1</v>
      </c>
      <c r="F115" t="str">
        <f>IF($D115&gt;NumRow, "",IFERROR(IF(SelectFedGrant="*",$D115, _xlfn.AGGREGATE(15,6,(1/(FedGrant_Data[Grant Name] = SelectFedGrant))*ROW(FedGrant_Data[Grant Name]), $D115)-TopRow), ""))</f>
        <v/>
      </c>
      <c r="M115">
        <v>107</v>
      </c>
      <c r="N115">
        <v>1</v>
      </c>
      <c r="O115" t="str">
        <f>IF($M115 &gt; FPWA_NumRow, "", IFERROR(IF(SelectMemberOrg = "*", $M115, _xlfn.AGGREGATE(15, 6, (1/(MemberOrg_Data[Auditee Name] = SelectMemberOrg))*ROW(MemberOrg_Data[Auditee Name]), $M115)-FPWA_TopRow), ""))</f>
        <v/>
      </c>
    </row>
    <row r="116" spans="4:15" x14ac:dyDescent="0.25">
      <c r="D116">
        <v>108</v>
      </c>
      <c r="E116">
        <v>1</v>
      </c>
      <c r="F116" t="str">
        <f>IF($D116&gt;NumRow, "",IFERROR(IF(SelectFedGrant="*",$D116, _xlfn.AGGREGATE(15,6,(1/(FedGrant_Data[Grant Name] = SelectFedGrant))*ROW(FedGrant_Data[Grant Name]), $D116)-TopRow), ""))</f>
        <v/>
      </c>
      <c r="M116">
        <v>108</v>
      </c>
      <c r="N116">
        <v>1</v>
      </c>
      <c r="O116" t="str">
        <f>IF($M116 &gt; FPWA_NumRow, "", IFERROR(IF(SelectMemberOrg = "*", $M116, _xlfn.AGGREGATE(15, 6, (1/(MemberOrg_Data[Auditee Name] = SelectMemberOrg))*ROW(MemberOrg_Data[Auditee Name]), $M116)-FPWA_TopRow), ""))</f>
        <v/>
      </c>
    </row>
    <row r="117" spans="4:15" x14ac:dyDescent="0.25">
      <c r="D117">
        <v>109</v>
      </c>
      <c r="E117">
        <v>1</v>
      </c>
      <c r="F117" t="str">
        <f>IF($D117&gt;NumRow, "",IFERROR(IF(SelectFedGrant="*",$D117, _xlfn.AGGREGATE(15,6,(1/(FedGrant_Data[Grant Name] = SelectFedGrant))*ROW(FedGrant_Data[Grant Name]), $D117)-TopRow), ""))</f>
        <v/>
      </c>
      <c r="M117">
        <v>109</v>
      </c>
      <c r="N117">
        <v>1</v>
      </c>
      <c r="O117" t="str">
        <f>IF($M117 &gt; FPWA_NumRow, "", IFERROR(IF(SelectMemberOrg = "*", $M117, _xlfn.AGGREGATE(15, 6, (1/(MemberOrg_Data[Auditee Name] = SelectMemberOrg))*ROW(MemberOrg_Data[Auditee Name]), $M117)-FPWA_TopRow), ""))</f>
        <v/>
      </c>
    </row>
    <row r="118" spans="4:15" x14ac:dyDescent="0.25">
      <c r="D118">
        <v>110</v>
      </c>
      <c r="E118">
        <v>1</v>
      </c>
      <c r="F118" t="str">
        <f>IF($D118&gt;NumRow, "",IFERROR(IF(SelectFedGrant="*",$D118, _xlfn.AGGREGATE(15,6,(1/(FedGrant_Data[Grant Name] = SelectFedGrant))*ROW(FedGrant_Data[Grant Name]), $D118)-TopRow), ""))</f>
        <v/>
      </c>
      <c r="M118">
        <v>110</v>
      </c>
      <c r="N118">
        <v>1</v>
      </c>
      <c r="O118" t="str">
        <f>IF($M118 &gt; FPWA_NumRow, "", IFERROR(IF(SelectMemberOrg = "*", $M118, _xlfn.AGGREGATE(15, 6, (1/(MemberOrg_Data[Auditee Name] = SelectMemberOrg))*ROW(MemberOrg_Data[Auditee Name]), $M118)-FPWA_TopRow), ""))</f>
        <v/>
      </c>
    </row>
    <row r="119" spans="4:15" x14ac:dyDescent="0.25">
      <c r="D119">
        <v>111</v>
      </c>
      <c r="E119">
        <v>1</v>
      </c>
      <c r="F119" t="str">
        <f>IF($D119&gt;NumRow, "",IFERROR(IF(SelectFedGrant="*",$D119, _xlfn.AGGREGATE(15,6,(1/(FedGrant_Data[Grant Name] = SelectFedGrant))*ROW(FedGrant_Data[Grant Name]), $D119)-TopRow), ""))</f>
        <v/>
      </c>
      <c r="M119">
        <v>111</v>
      </c>
      <c r="N119">
        <v>1</v>
      </c>
      <c r="O119" t="str">
        <f>IF($M119 &gt; FPWA_NumRow, "", IFERROR(IF(SelectMemberOrg = "*", $M119, _xlfn.AGGREGATE(15, 6, (1/(MemberOrg_Data[Auditee Name] = SelectMemberOrg))*ROW(MemberOrg_Data[Auditee Name]), $M119)-FPWA_TopRow), ""))</f>
        <v/>
      </c>
    </row>
    <row r="120" spans="4:15" x14ac:dyDescent="0.25">
      <c r="D120">
        <v>112</v>
      </c>
      <c r="E120">
        <v>1</v>
      </c>
      <c r="F120" t="str">
        <f>IF($D120&gt;NumRow, "",IFERROR(IF(SelectFedGrant="*",$D120, _xlfn.AGGREGATE(15,6,(1/(FedGrant_Data[Grant Name] = SelectFedGrant))*ROW(FedGrant_Data[Grant Name]), $D120)-TopRow), ""))</f>
        <v/>
      </c>
      <c r="M120">
        <v>112</v>
      </c>
      <c r="N120">
        <v>1</v>
      </c>
      <c r="O120" t="str">
        <f>IF($M120 &gt; FPWA_NumRow, "", IFERROR(IF(SelectMemberOrg = "*", $M120, _xlfn.AGGREGATE(15, 6, (1/(MemberOrg_Data[Auditee Name] = SelectMemberOrg))*ROW(MemberOrg_Data[Auditee Name]), $M120)-FPWA_TopRow), ""))</f>
        <v/>
      </c>
    </row>
    <row r="121" spans="4:15" x14ac:dyDescent="0.25">
      <c r="D121">
        <v>113</v>
      </c>
      <c r="E121">
        <v>1</v>
      </c>
      <c r="F121" t="str">
        <f>IF($D121&gt;NumRow, "",IFERROR(IF(SelectFedGrant="*",$D121, _xlfn.AGGREGATE(15,6,(1/(FedGrant_Data[Grant Name] = SelectFedGrant))*ROW(FedGrant_Data[Grant Name]), $D121)-TopRow), ""))</f>
        <v/>
      </c>
      <c r="M121">
        <v>113</v>
      </c>
      <c r="N121">
        <v>1</v>
      </c>
      <c r="O121" t="str">
        <f>IF($M121 &gt; FPWA_NumRow, "", IFERROR(IF(SelectMemberOrg = "*", $M121, _xlfn.AGGREGATE(15, 6, (1/(MemberOrg_Data[Auditee Name] = SelectMemberOrg))*ROW(MemberOrg_Data[Auditee Name]), $M121)-FPWA_TopRow), ""))</f>
        <v/>
      </c>
    </row>
    <row r="122" spans="4:15" x14ac:dyDescent="0.25">
      <c r="D122">
        <v>114</v>
      </c>
      <c r="E122">
        <v>1</v>
      </c>
      <c r="F122" t="str">
        <f>IF($D122&gt;NumRow, "",IFERROR(IF(SelectFedGrant="*",$D122, _xlfn.AGGREGATE(15,6,(1/(FedGrant_Data[Grant Name] = SelectFedGrant))*ROW(FedGrant_Data[Grant Name]), $D122)-TopRow), ""))</f>
        <v/>
      </c>
      <c r="M122">
        <v>114</v>
      </c>
      <c r="N122">
        <v>1</v>
      </c>
      <c r="O122" t="str">
        <f>IF($M122 &gt; FPWA_NumRow, "", IFERROR(IF(SelectMemberOrg = "*", $M122, _xlfn.AGGREGATE(15, 6, (1/(MemberOrg_Data[Auditee Name] = SelectMemberOrg))*ROW(MemberOrg_Data[Auditee Name]), $M122)-FPWA_TopRow), ""))</f>
        <v/>
      </c>
    </row>
    <row r="123" spans="4:15" x14ac:dyDescent="0.25">
      <c r="D123">
        <v>115</v>
      </c>
      <c r="E123">
        <v>1</v>
      </c>
      <c r="F123" t="str">
        <f>IF($D123&gt;NumRow, "",IFERROR(IF(SelectFedGrant="*",$D123, _xlfn.AGGREGATE(15,6,(1/(FedGrant_Data[Grant Name] = SelectFedGrant))*ROW(FedGrant_Data[Grant Name]), $D123)-TopRow), ""))</f>
        <v/>
      </c>
      <c r="M123">
        <v>115</v>
      </c>
      <c r="N123">
        <v>1</v>
      </c>
      <c r="O123" t="str">
        <f>IF($M123 &gt; FPWA_NumRow, "", IFERROR(IF(SelectMemberOrg = "*", $M123, _xlfn.AGGREGATE(15, 6, (1/(MemberOrg_Data[Auditee Name] = SelectMemberOrg))*ROW(MemberOrg_Data[Auditee Name]), $M123)-FPWA_TopRow), ""))</f>
        <v/>
      </c>
    </row>
    <row r="124" spans="4:15" x14ac:dyDescent="0.25">
      <c r="D124">
        <v>116</v>
      </c>
      <c r="E124">
        <v>1</v>
      </c>
      <c r="F124" t="str">
        <f>IF($D124&gt;NumRow, "",IFERROR(IF(SelectFedGrant="*",$D124, _xlfn.AGGREGATE(15,6,(1/(FedGrant_Data[Grant Name] = SelectFedGrant))*ROW(FedGrant_Data[Grant Name]), $D124)-TopRow), ""))</f>
        <v/>
      </c>
      <c r="M124">
        <v>116</v>
      </c>
      <c r="N124">
        <v>1</v>
      </c>
      <c r="O124" t="str">
        <f>IF($M124 &gt; FPWA_NumRow, "", IFERROR(IF(SelectMemberOrg = "*", $M124, _xlfn.AGGREGATE(15, 6, (1/(MemberOrg_Data[Auditee Name] = SelectMemberOrg))*ROW(MemberOrg_Data[Auditee Name]), $M124)-FPWA_TopRow), ""))</f>
        <v/>
      </c>
    </row>
    <row r="125" spans="4:15" x14ac:dyDescent="0.25">
      <c r="D125">
        <v>117</v>
      </c>
      <c r="E125">
        <v>1</v>
      </c>
      <c r="F125" t="str">
        <f>IF($D125&gt;NumRow, "",IFERROR(IF(SelectFedGrant="*",$D125, _xlfn.AGGREGATE(15,6,(1/(FedGrant_Data[Grant Name] = SelectFedGrant))*ROW(FedGrant_Data[Grant Name]), $D125)-TopRow), ""))</f>
        <v/>
      </c>
      <c r="M125">
        <v>117</v>
      </c>
      <c r="N125">
        <v>1</v>
      </c>
      <c r="O125" t="str">
        <f>IF($M125 &gt; FPWA_NumRow, "", IFERROR(IF(SelectMemberOrg = "*", $M125, _xlfn.AGGREGATE(15, 6, (1/(MemberOrg_Data[Auditee Name] = SelectMemberOrg))*ROW(MemberOrg_Data[Auditee Name]), $M125)-FPWA_TopRow), ""))</f>
        <v/>
      </c>
    </row>
    <row r="126" spans="4:15" x14ac:dyDescent="0.25">
      <c r="D126">
        <v>118</v>
      </c>
      <c r="E126">
        <v>1</v>
      </c>
      <c r="F126" t="str">
        <f>IF($D126&gt;NumRow, "",IFERROR(IF(SelectFedGrant="*",$D126, _xlfn.AGGREGATE(15,6,(1/(FedGrant_Data[Grant Name] = SelectFedGrant))*ROW(FedGrant_Data[Grant Name]), $D126)-TopRow), ""))</f>
        <v/>
      </c>
      <c r="M126">
        <v>118</v>
      </c>
      <c r="N126">
        <v>1</v>
      </c>
      <c r="O126" t="str">
        <f>IF($M126 &gt; FPWA_NumRow, "", IFERROR(IF(SelectMemberOrg = "*", $M126, _xlfn.AGGREGATE(15, 6, (1/(MemberOrg_Data[Auditee Name] = SelectMemberOrg))*ROW(MemberOrg_Data[Auditee Name]), $M126)-FPWA_TopRow), ""))</f>
        <v/>
      </c>
    </row>
    <row r="127" spans="4:15" x14ac:dyDescent="0.25">
      <c r="D127">
        <v>119</v>
      </c>
      <c r="E127">
        <v>1</v>
      </c>
      <c r="F127" t="str">
        <f>IF($D127&gt;NumRow, "",IFERROR(IF(SelectFedGrant="*",$D127, _xlfn.AGGREGATE(15,6,(1/(FedGrant_Data[Grant Name] = SelectFedGrant))*ROW(FedGrant_Data[Grant Name]), $D127)-TopRow), ""))</f>
        <v/>
      </c>
      <c r="M127">
        <v>119</v>
      </c>
      <c r="N127">
        <v>1</v>
      </c>
      <c r="O127" t="str">
        <f>IF($M127 &gt; FPWA_NumRow, "", IFERROR(IF(SelectMemberOrg = "*", $M127, _xlfn.AGGREGATE(15, 6, (1/(MemberOrg_Data[Auditee Name] = SelectMemberOrg))*ROW(MemberOrg_Data[Auditee Name]), $M127)-FPWA_TopRow), ""))</f>
        <v/>
      </c>
    </row>
    <row r="128" spans="4:15" x14ac:dyDescent="0.25">
      <c r="D128">
        <v>120</v>
      </c>
      <c r="E128">
        <v>1</v>
      </c>
      <c r="F128" t="str">
        <f>IF($D128&gt;NumRow, "",IFERROR(IF(SelectFedGrant="*",$D128, _xlfn.AGGREGATE(15,6,(1/(FedGrant_Data[Grant Name] = SelectFedGrant))*ROW(FedGrant_Data[Grant Name]), $D128)-TopRow), ""))</f>
        <v/>
      </c>
      <c r="M128">
        <v>120</v>
      </c>
      <c r="N128">
        <v>1</v>
      </c>
      <c r="O128" t="str">
        <f>IF($M128 &gt; FPWA_NumRow, "", IFERROR(IF(SelectMemberOrg = "*", $M128, _xlfn.AGGREGATE(15, 6, (1/(MemberOrg_Data[Auditee Name] = SelectMemberOrg))*ROW(MemberOrg_Data[Auditee Name]), $M128)-FPWA_TopRow), ""))</f>
        <v/>
      </c>
    </row>
    <row r="129" spans="4:15" x14ac:dyDescent="0.25">
      <c r="D129">
        <v>121</v>
      </c>
      <c r="E129">
        <v>1</v>
      </c>
      <c r="F129" t="str">
        <f>IF($D129&gt;NumRow, "",IFERROR(IF(SelectFedGrant="*",$D129, _xlfn.AGGREGATE(15,6,(1/(FedGrant_Data[Grant Name] = SelectFedGrant))*ROW(FedGrant_Data[Grant Name]), $D129)-TopRow), ""))</f>
        <v/>
      </c>
      <c r="M129">
        <v>121</v>
      </c>
      <c r="N129">
        <v>1</v>
      </c>
      <c r="O129" t="str">
        <f>IF($M129 &gt; FPWA_NumRow, "", IFERROR(IF(SelectMemberOrg = "*", $M129, _xlfn.AGGREGATE(15, 6, (1/(MemberOrg_Data[Auditee Name] = SelectMemberOrg))*ROW(MemberOrg_Data[Auditee Name]), $M129)-FPWA_TopRow), ""))</f>
        <v/>
      </c>
    </row>
    <row r="130" spans="4:15" x14ac:dyDescent="0.25">
      <c r="D130">
        <v>122</v>
      </c>
      <c r="E130">
        <v>1</v>
      </c>
      <c r="F130" t="str">
        <f>IF($D130&gt;NumRow, "",IFERROR(IF(SelectFedGrant="*",$D130, _xlfn.AGGREGATE(15,6,(1/(FedGrant_Data[Grant Name] = SelectFedGrant))*ROW(FedGrant_Data[Grant Name]), $D130)-TopRow), ""))</f>
        <v/>
      </c>
      <c r="M130">
        <v>122</v>
      </c>
      <c r="N130">
        <v>1</v>
      </c>
      <c r="O130" t="str">
        <f>IF($M130 &gt; FPWA_NumRow, "", IFERROR(IF(SelectMemberOrg = "*", $M130, _xlfn.AGGREGATE(15, 6, (1/(MemberOrg_Data[Auditee Name] = SelectMemberOrg))*ROW(MemberOrg_Data[Auditee Name]), $M130)-FPWA_TopRow), ""))</f>
        <v/>
      </c>
    </row>
    <row r="131" spans="4:15" x14ac:dyDescent="0.25">
      <c r="D131">
        <v>123</v>
      </c>
      <c r="E131">
        <v>1</v>
      </c>
      <c r="F131" t="str">
        <f>IF($D131&gt;NumRow, "",IFERROR(IF(SelectFedGrant="*",$D131, _xlfn.AGGREGATE(15,6,(1/(FedGrant_Data[Grant Name] = SelectFedGrant))*ROW(FedGrant_Data[Grant Name]), $D131)-TopRow), ""))</f>
        <v/>
      </c>
      <c r="M131">
        <v>123</v>
      </c>
      <c r="N131">
        <v>1</v>
      </c>
      <c r="O131" t="str">
        <f>IF($M131 &gt; FPWA_NumRow, "", IFERROR(IF(SelectMemberOrg = "*", $M131, _xlfn.AGGREGATE(15, 6, (1/(MemberOrg_Data[Auditee Name] = SelectMemberOrg))*ROW(MemberOrg_Data[Auditee Name]), $M131)-FPWA_TopRow), ""))</f>
        <v/>
      </c>
    </row>
    <row r="132" spans="4:15" x14ac:dyDescent="0.25">
      <c r="D132">
        <v>124</v>
      </c>
      <c r="E132">
        <v>1</v>
      </c>
      <c r="F132" t="str">
        <f>IF($D132&gt;NumRow, "",IFERROR(IF(SelectFedGrant="*",$D132, _xlfn.AGGREGATE(15,6,(1/(FedGrant_Data[Grant Name] = SelectFedGrant))*ROW(FedGrant_Data[Grant Name]), $D132)-TopRow), ""))</f>
        <v/>
      </c>
      <c r="M132">
        <v>124</v>
      </c>
      <c r="N132">
        <v>1</v>
      </c>
      <c r="O132" t="str">
        <f>IF($M132 &gt; FPWA_NumRow, "", IFERROR(IF(SelectMemberOrg = "*", $M132, _xlfn.AGGREGATE(15, 6, (1/(MemberOrg_Data[Auditee Name] = SelectMemberOrg))*ROW(MemberOrg_Data[Auditee Name]), $M132)-FPWA_TopRow), ""))</f>
        <v/>
      </c>
    </row>
    <row r="133" spans="4:15" x14ac:dyDescent="0.25">
      <c r="D133">
        <v>125</v>
      </c>
      <c r="E133">
        <v>1</v>
      </c>
      <c r="F133" t="str">
        <f>IF($D133&gt;NumRow, "",IFERROR(IF(SelectFedGrant="*",$D133, _xlfn.AGGREGATE(15,6,(1/(FedGrant_Data[Grant Name] = SelectFedGrant))*ROW(FedGrant_Data[Grant Name]), $D133)-TopRow), ""))</f>
        <v/>
      </c>
      <c r="M133">
        <v>125</v>
      </c>
      <c r="N133">
        <v>1</v>
      </c>
      <c r="O133" t="str">
        <f>IF($M133 &gt; FPWA_NumRow, "", IFERROR(IF(SelectMemberOrg = "*", $M133, _xlfn.AGGREGATE(15, 6, (1/(MemberOrg_Data[Auditee Name] = SelectMemberOrg))*ROW(MemberOrg_Data[Auditee Name]), $M133)-FPWA_TopRow), ""))</f>
        <v/>
      </c>
    </row>
    <row r="134" spans="4:15" x14ac:dyDescent="0.25">
      <c r="D134">
        <v>126</v>
      </c>
      <c r="E134">
        <v>1</v>
      </c>
      <c r="F134" t="str">
        <f>IF($D134&gt;NumRow, "",IFERROR(IF(SelectFedGrant="*",$D134, _xlfn.AGGREGATE(15,6,(1/(FedGrant_Data[Grant Name] = SelectFedGrant))*ROW(FedGrant_Data[Grant Name]), $D134)-TopRow), ""))</f>
        <v/>
      </c>
      <c r="M134">
        <v>126</v>
      </c>
      <c r="N134">
        <v>1</v>
      </c>
      <c r="O134" t="str">
        <f>IF($M134 &gt; FPWA_NumRow, "", IFERROR(IF(SelectMemberOrg = "*", $M134, _xlfn.AGGREGATE(15, 6, (1/(MemberOrg_Data[Auditee Name] = SelectMemberOrg))*ROW(MemberOrg_Data[Auditee Name]), $M134)-FPWA_TopRow), ""))</f>
        <v/>
      </c>
    </row>
    <row r="135" spans="4:15" x14ac:dyDescent="0.25">
      <c r="D135">
        <v>127</v>
      </c>
      <c r="E135">
        <v>1</v>
      </c>
      <c r="F135" t="str">
        <f>IF($D135&gt;NumRow, "",IFERROR(IF(SelectFedGrant="*",$D135, _xlfn.AGGREGATE(15,6,(1/(FedGrant_Data[Grant Name] = SelectFedGrant))*ROW(FedGrant_Data[Grant Name]), $D135)-TopRow), ""))</f>
        <v/>
      </c>
      <c r="M135">
        <v>127</v>
      </c>
      <c r="N135">
        <v>1</v>
      </c>
      <c r="O135" t="str">
        <f>IF($M135 &gt; FPWA_NumRow, "", IFERROR(IF(SelectMemberOrg = "*", $M135, _xlfn.AGGREGATE(15, 6, (1/(MemberOrg_Data[Auditee Name] = SelectMemberOrg))*ROW(MemberOrg_Data[Auditee Name]), $M135)-FPWA_TopRow), ""))</f>
        <v/>
      </c>
    </row>
    <row r="136" spans="4:15" x14ac:dyDescent="0.25">
      <c r="D136">
        <v>128</v>
      </c>
      <c r="E136">
        <v>1</v>
      </c>
      <c r="F136" t="str">
        <f>IF($D136&gt;NumRow, "",IFERROR(IF(SelectFedGrant="*",$D136, _xlfn.AGGREGATE(15,6,(1/(FedGrant_Data[Grant Name] = SelectFedGrant))*ROW(FedGrant_Data[Grant Name]), $D136)-TopRow), ""))</f>
        <v/>
      </c>
      <c r="M136">
        <v>128</v>
      </c>
      <c r="N136">
        <v>1</v>
      </c>
      <c r="O136" t="str">
        <f>IF($M136 &gt; FPWA_NumRow, "", IFERROR(IF(SelectMemberOrg = "*", $M136, _xlfn.AGGREGATE(15, 6, (1/(MemberOrg_Data[Auditee Name] = SelectMemberOrg))*ROW(MemberOrg_Data[Auditee Name]), $M136)-FPWA_TopRow), ""))</f>
        <v/>
      </c>
    </row>
    <row r="137" spans="4:15" x14ac:dyDescent="0.25">
      <c r="D137">
        <v>129</v>
      </c>
      <c r="E137">
        <v>1</v>
      </c>
      <c r="F137" t="str">
        <f>IF($D137&gt;NumRow, "",IFERROR(IF(SelectFedGrant="*",$D137, _xlfn.AGGREGATE(15,6,(1/(FedGrant_Data[Grant Name] = SelectFedGrant))*ROW(FedGrant_Data[Grant Name]), $D137)-TopRow), ""))</f>
        <v/>
      </c>
      <c r="M137">
        <v>129</v>
      </c>
      <c r="N137">
        <v>1</v>
      </c>
      <c r="O137" t="str">
        <f>IF($M137 &gt; FPWA_NumRow, "", IFERROR(IF(SelectMemberOrg = "*", $M137, _xlfn.AGGREGATE(15, 6, (1/(MemberOrg_Data[Auditee Name] = SelectMemberOrg))*ROW(MemberOrg_Data[Auditee Name]), $M137)-FPWA_TopRow), ""))</f>
        <v/>
      </c>
    </row>
    <row r="138" spans="4:15" x14ac:dyDescent="0.25">
      <c r="D138">
        <v>130</v>
      </c>
      <c r="E138">
        <v>1</v>
      </c>
      <c r="F138" t="str">
        <f>IF($D138&gt;NumRow, "",IFERROR(IF(SelectFedGrant="*",$D138, _xlfn.AGGREGATE(15,6,(1/(FedGrant_Data[Grant Name] = SelectFedGrant))*ROW(FedGrant_Data[Grant Name]), $D138)-TopRow), ""))</f>
        <v/>
      </c>
      <c r="M138">
        <v>130</v>
      </c>
      <c r="N138">
        <v>1</v>
      </c>
      <c r="O138" t="str">
        <f>IF($M138 &gt; FPWA_NumRow, "", IFERROR(IF(SelectMemberOrg = "*", $M138, _xlfn.AGGREGATE(15, 6, (1/(MemberOrg_Data[Auditee Name] = SelectMemberOrg))*ROW(MemberOrg_Data[Auditee Name]), $M138)-FPWA_TopRow), ""))</f>
        <v/>
      </c>
    </row>
    <row r="139" spans="4:15" x14ac:dyDescent="0.25">
      <c r="D139">
        <v>131</v>
      </c>
      <c r="E139">
        <v>1</v>
      </c>
      <c r="F139" t="str">
        <f>IF($D139&gt;NumRow, "",IFERROR(IF(SelectFedGrant="*",$D139, _xlfn.AGGREGATE(15,6,(1/(FedGrant_Data[Grant Name] = SelectFedGrant))*ROW(FedGrant_Data[Grant Name]), $D139)-TopRow), ""))</f>
        <v/>
      </c>
      <c r="M139">
        <v>131</v>
      </c>
      <c r="N139">
        <v>1</v>
      </c>
      <c r="O139" t="str">
        <f>IF($M139 &gt; FPWA_NumRow, "", IFERROR(IF(SelectMemberOrg = "*", $M139, _xlfn.AGGREGATE(15, 6, (1/(MemberOrg_Data[Auditee Name] = SelectMemberOrg))*ROW(MemberOrg_Data[Auditee Name]), $M139)-FPWA_TopRow), ""))</f>
        <v/>
      </c>
    </row>
    <row r="140" spans="4:15" x14ac:dyDescent="0.25">
      <c r="D140">
        <v>132</v>
      </c>
      <c r="E140">
        <v>1</v>
      </c>
      <c r="F140" t="str">
        <f>IF($D140&gt;NumRow, "",IFERROR(IF(SelectFedGrant="*",$D140, _xlfn.AGGREGATE(15,6,(1/(FedGrant_Data[Grant Name] = SelectFedGrant))*ROW(FedGrant_Data[Grant Name]), $D140)-TopRow), ""))</f>
        <v/>
      </c>
      <c r="M140">
        <v>132</v>
      </c>
      <c r="N140">
        <v>1</v>
      </c>
      <c r="O140" t="str">
        <f>IF($M140 &gt; FPWA_NumRow, "", IFERROR(IF(SelectMemberOrg = "*", $M140, _xlfn.AGGREGATE(15, 6, (1/(MemberOrg_Data[Auditee Name] = SelectMemberOrg))*ROW(MemberOrg_Data[Auditee Name]), $M140)-FPWA_TopRow), ""))</f>
        <v/>
      </c>
    </row>
    <row r="141" spans="4:15" x14ac:dyDescent="0.25">
      <c r="D141">
        <v>133</v>
      </c>
      <c r="E141">
        <v>1</v>
      </c>
      <c r="F141" t="str">
        <f>IF($D141&gt;NumRow, "",IFERROR(IF(SelectFedGrant="*",$D141, _xlfn.AGGREGATE(15,6,(1/(FedGrant_Data[Grant Name] = SelectFedGrant))*ROW(FedGrant_Data[Grant Name]), $D141)-TopRow), ""))</f>
        <v/>
      </c>
      <c r="M141">
        <v>133</v>
      </c>
      <c r="N141">
        <v>1</v>
      </c>
      <c r="O141" t="str">
        <f>IF($M141 &gt; FPWA_NumRow, "", IFERROR(IF(SelectMemberOrg = "*", $M141, _xlfn.AGGREGATE(15, 6, (1/(MemberOrg_Data[Auditee Name] = SelectMemberOrg))*ROW(MemberOrg_Data[Auditee Name]), $M141)-FPWA_TopRow), ""))</f>
        <v/>
      </c>
    </row>
    <row r="142" spans="4:15" x14ac:dyDescent="0.25">
      <c r="D142">
        <v>134</v>
      </c>
      <c r="E142">
        <v>1</v>
      </c>
      <c r="F142" t="str">
        <f>IF($D142&gt;NumRow, "",IFERROR(IF(SelectFedGrant="*",$D142, _xlfn.AGGREGATE(15,6,(1/(FedGrant_Data[Grant Name] = SelectFedGrant))*ROW(FedGrant_Data[Grant Name]), $D142)-TopRow), ""))</f>
        <v/>
      </c>
      <c r="M142">
        <v>134</v>
      </c>
      <c r="N142">
        <v>1</v>
      </c>
      <c r="O142" t="str">
        <f>IF($M142 &gt; FPWA_NumRow, "", IFERROR(IF(SelectMemberOrg = "*", $M142, _xlfn.AGGREGATE(15, 6, (1/(MemberOrg_Data[Auditee Name] = SelectMemberOrg))*ROW(MemberOrg_Data[Auditee Name]), $M142)-FPWA_TopRow), ""))</f>
        <v/>
      </c>
    </row>
    <row r="143" spans="4:15" x14ac:dyDescent="0.25">
      <c r="D143">
        <v>135</v>
      </c>
      <c r="E143">
        <v>1</v>
      </c>
      <c r="F143" t="str">
        <f>IF($D143&gt;NumRow, "",IFERROR(IF(SelectFedGrant="*",$D143, _xlfn.AGGREGATE(15,6,(1/(FedGrant_Data[Grant Name] = SelectFedGrant))*ROW(FedGrant_Data[Grant Name]), $D143)-TopRow), ""))</f>
        <v/>
      </c>
      <c r="M143">
        <v>135</v>
      </c>
      <c r="N143">
        <v>1</v>
      </c>
      <c r="O143" t="str">
        <f>IF($M143 &gt; FPWA_NumRow, "", IFERROR(IF(SelectMemberOrg = "*", $M143, _xlfn.AGGREGATE(15, 6, (1/(MemberOrg_Data[Auditee Name] = SelectMemberOrg))*ROW(MemberOrg_Data[Auditee Name]), $M143)-FPWA_TopRow), ""))</f>
        <v/>
      </c>
    </row>
    <row r="144" spans="4:15" x14ac:dyDescent="0.25">
      <c r="D144">
        <v>136</v>
      </c>
      <c r="E144">
        <v>1</v>
      </c>
      <c r="F144" t="str">
        <f>IF($D144&gt;NumRow, "",IFERROR(IF(SelectFedGrant="*",$D144, _xlfn.AGGREGATE(15,6,(1/(FedGrant_Data[Grant Name] = SelectFedGrant))*ROW(FedGrant_Data[Grant Name]), $D144)-TopRow), ""))</f>
        <v/>
      </c>
      <c r="M144">
        <v>136</v>
      </c>
      <c r="N144">
        <v>1</v>
      </c>
      <c r="O144" t="str">
        <f>IF($M144 &gt; FPWA_NumRow, "", IFERROR(IF(SelectMemberOrg = "*", $M144, _xlfn.AGGREGATE(15, 6, (1/(MemberOrg_Data[Auditee Name] = SelectMemberOrg))*ROW(MemberOrg_Data[Auditee Name]), $M144)-FPWA_TopRow), ""))</f>
        <v/>
      </c>
    </row>
    <row r="145" spans="4:15" x14ac:dyDescent="0.25">
      <c r="D145">
        <v>137</v>
      </c>
      <c r="E145">
        <v>1</v>
      </c>
      <c r="F145" t="str">
        <f>IF($D145&gt;NumRow, "",IFERROR(IF(SelectFedGrant="*",$D145, _xlfn.AGGREGATE(15,6,(1/(FedGrant_Data[Grant Name] = SelectFedGrant))*ROW(FedGrant_Data[Grant Name]), $D145)-TopRow), ""))</f>
        <v/>
      </c>
      <c r="M145">
        <v>137</v>
      </c>
      <c r="N145">
        <v>1</v>
      </c>
      <c r="O145" t="str">
        <f>IF($M145 &gt; FPWA_NumRow, "", IFERROR(IF(SelectMemberOrg = "*", $M145, _xlfn.AGGREGATE(15, 6, (1/(MemberOrg_Data[Auditee Name] = SelectMemberOrg))*ROW(MemberOrg_Data[Auditee Name]), $M145)-FPWA_TopRow), ""))</f>
        <v/>
      </c>
    </row>
    <row r="146" spans="4:15" x14ac:dyDescent="0.25">
      <c r="D146">
        <v>138</v>
      </c>
      <c r="E146">
        <v>1</v>
      </c>
      <c r="F146" t="str">
        <f>IF($D146&gt;NumRow, "",IFERROR(IF(SelectFedGrant="*",$D146, _xlfn.AGGREGATE(15,6,(1/(FedGrant_Data[Grant Name] = SelectFedGrant))*ROW(FedGrant_Data[Grant Name]), $D146)-TopRow), ""))</f>
        <v/>
      </c>
      <c r="M146">
        <v>138</v>
      </c>
      <c r="N146">
        <v>1</v>
      </c>
      <c r="O146" t="str">
        <f>IF($M146 &gt; FPWA_NumRow, "", IFERROR(IF(SelectMemberOrg = "*", $M146, _xlfn.AGGREGATE(15, 6, (1/(MemberOrg_Data[Auditee Name] = SelectMemberOrg))*ROW(MemberOrg_Data[Auditee Name]), $M146)-FPWA_TopRow), ""))</f>
        <v/>
      </c>
    </row>
    <row r="147" spans="4:15" x14ac:dyDescent="0.25">
      <c r="D147">
        <v>139</v>
      </c>
      <c r="E147">
        <v>1</v>
      </c>
      <c r="F147" t="str">
        <f>IF($D147&gt;NumRow, "",IFERROR(IF(SelectFedGrant="*",$D147, _xlfn.AGGREGATE(15,6,(1/(FedGrant_Data[Grant Name] = SelectFedGrant))*ROW(FedGrant_Data[Grant Name]), $D147)-TopRow), ""))</f>
        <v/>
      </c>
      <c r="M147">
        <v>139</v>
      </c>
      <c r="N147">
        <v>1</v>
      </c>
      <c r="O147" t="str">
        <f>IF($M147 &gt; FPWA_NumRow, "", IFERROR(IF(SelectMemberOrg = "*", $M147, _xlfn.AGGREGATE(15, 6, (1/(MemberOrg_Data[Auditee Name] = SelectMemberOrg))*ROW(MemberOrg_Data[Auditee Name]), $M147)-FPWA_TopRow), ""))</f>
        <v/>
      </c>
    </row>
    <row r="148" spans="4:15" x14ac:dyDescent="0.25">
      <c r="D148">
        <v>140</v>
      </c>
      <c r="E148">
        <v>1</v>
      </c>
      <c r="F148" t="str">
        <f>IF($D148&gt;NumRow, "",IFERROR(IF(SelectFedGrant="*",$D148, _xlfn.AGGREGATE(15,6,(1/(FedGrant_Data[Grant Name] = SelectFedGrant))*ROW(FedGrant_Data[Grant Name]), $D148)-TopRow), ""))</f>
        <v/>
      </c>
      <c r="M148">
        <v>140</v>
      </c>
      <c r="N148">
        <v>1</v>
      </c>
      <c r="O148" t="str">
        <f>IF($M148 &gt; FPWA_NumRow, "", IFERROR(IF(SelectMemberOrg = "*", $M148, _xlfn.AGGREGATE(15, 6, (1/(MemberOrg_Data[Auditee Name] = SelectMemberOrg))*ROW(MemberOrg_Data[Auditee Name]), $M148)-FPWA_TopRow), ""))</f>
        <v/>
      </c>
    </row>
    <row r="149" spans="4:15" x14ac:dyDescent="0.25">
      <c r="D149">
        <v>141</v>
      </c>
      <c r="E149">
        <v>1</v>
      </c>
      <c r="F149" t="str">
        <f>IF($D149&gt;NumRow, "",IFERROR(IF(SelectFedGrant="*",$D149, _xlfn.AGGREGATE(15,6,(1/(FedGrant_Data[Grant Name] = SelectFedGrant))*ROW(FedGrant_Data[Grant Name]), $D149)-TopRow), ""))</f>
        <v/>
      </c>
      <c r="M149">
        <v>141</v>
      </c>
      <c r="N149">
        <v>1</v>
      </c>
      <c r="O149" t="str">
        <f>IF($M149 &gt; FPWA_NumRow, "", IFERROR(IF(SelectMemberOrg = "*", $M149, _xlfn.AGGREGATE(15, 6, (1/(MemberOrg_Data[Auditee Name] = SelectMemberOrg))*ROW(MemberOrg_Data[Auditee Name]), $M149)-FPWA_TopRow), ""))</f>
        <v/>
      </c>
    </row>
    <row r="150" spans="4:15" x14ac:dyDescent="0.25">
      <c r="D150">
        <v>142</v>
      </c>
      <c r="E150">
        <v>1</v>
      </c>
      <c r="F150" t="str">
        <f>IF($D150&gt;NumRow, "",IFERROR(IF(SelectFedGrant="*",$D150, _xlfn.AGGREGATE(15,6,(1/(FedGrant_Data[Grant Name] = SelectFedGrant))*ROW(FedGrant_Data[Grant Name]), $D150)-TopRow), ""))</f>
        <v/>
      </c>
      <c r="M150">
        <v>142</v>
      </c>
      <c r="N150">
        <v>1</v>
      </c>
      <c r="O150" t="str">
        <f>IF($M150 &gt; FPWA_NumRow, "", IFERROR(IF(SelectMemberOrg = "*", $M150, _xlfn.AGGREGATE(15, 6, (1/(MemberOrg_Data[Auditee Name] = SelectMemberOrg))*ROW(MemberOrg_Data[Auditee Name]), $M150)-FPWA_TopRow), ""))</f>
        <v/>
      </c>
    </row>
    <row r="151" spans="4:15" x14ac:dyDescent="0.25">
      <c r="D151">
        <v>143</v>
      </c>
      <c r="E151">
        <v>1</v>
      </c>
      <c r="F151" t="str">
        <f>IF($D151&gt;NumRow, "",IFERROR(IF(SelectFedGrant="*",$D151, _xlfn.AGGREGATE(15,6,(1/(FedGrant_Data[Grant Name] = SelectFedGrant))*ROW(FedGrant_Data[Grant Name]), $D151)-TopRow), ""))</f>
        <v/>
      </c>
      <c r="M151">
        <v>143</v>
      </c>
      <c r="N151">
        <v>1</v>
      </c>
      <c r="O151" t="str">
        <f>IF($M151 &gt; FPWA_NumRow, "", IFERROR(IF(SelectMemberOrg = "*", $M151, _xlfn.AGGREGATE(15, 6, (1/(MemberOrg_Data[Auditee Name] = SelectMemberOrg))*ROW(MemberOrg_Data[Auditee Name]), $M151)-FPWA_TopRow), ""))</f>
        <v/>
      </c>
    </row>
    <row r="152" spans="4:15" x14ac:dyDescent="0.25">
      <c r="D152">
        <v>144</v>
      </c>
      <c r="E152">
        <v>1</v>
      </c>
      <c r="F152" t="str">
        <f>IF($D152&gt;NumRow, "",IFERROR(IF(SelectFedGrant="*",$D152, _xlfn.AGGREGATE(15,6,(1/(FedGrant_Data[Grant Name] = SelectFedGrant))*ROW(FedGrant_Data[Grant Name]), $D152)-TopRow), ""))</f>
        <v/>
      </c>
      <c r="M152">
        <v>144</v>
      </c>
      <c r="N152">
        <v>1</v>
      </c>
      <c r="O152" t="str">
        <f>IF($M152 &gt; FPWA_NumRow, "", IFERROR(IF(SelectMemberOrg = "*", $M152, _xlfn.AGGREGATE(15, 6, (1/(MemberOrg_Data[Auditee Name] = SelectMemberOrg))*ROW(MemberOrg_Data[Auditee Name]), $M152)-FPWA_TopRow), ""))</f>
        <v/>
      </c>
    </row>
    <row r="153" spans="4:15" x14ac:dyDescent="0.25">
      <c r="D153">
        <v>145</v>
      </c>
      <c r="E153">
        <v>1</v>
      </c>
      <c r="F153" t="str">
        <f>IF($D153&gt;NumRow, "",IFERROR(IF(SelectFedGrant="*",$D153, _xlfn.AGGREGATE(15,6,(1/(FedGrant_Data[Grant Name] = SelectFedGrant))*ROW(FedGrant_Data[Grant Name]), $D153)-TopRow), ""))</f>
        <v/>
      </c>
      <c r="M153">
        <v>145</v>
      </c>
      <c r="N153">
        <v>1</v>
      </c>
      <c r="O153" t="str">
        <f>IF($M153 &gt; FPWA_NumRow, "", IFERROR(IF(SelectMemberOrg = "*", $M153, _xlfn.AGGREGATE(15, 6, (1/(MemberOrg_Data[Auditee Name] = SelectMemberOrg))*ROW(MemberOrg_Data[Auditee Name]), $M153)-FPWA_TopRow), ""))</f>
        <v/>
      </c>
    </row>
    <row r="154" spans="4:15" x14ac:dyDescent="0.25">
      <c r="D154">
        <v>146</v>
      </c>
      <c r="E154">
        <v>1</v>
      </c>
      <c r="F154" t="str">
        <f>IF($D154&gt;NumRow, "",IFERROR(IF(SelectFedGrant="*",$D154, _xlfn.AGGREGATE(15,6,(1/(FedGrant_Data[Grant Name] = SelectFedGrant))*ROW(FedGrant_Data[Grant Name]), $D154)-TopRow), ""))</f>
        <v/>
      </c>
      <c r="M154">
        <v>146</v>
      </c>
      <c r="N154">
        <v>1</v>
      </c>
      <c r="O154" t="str">
        <f>IF($M154 &gt; FPWA_NumRow, "", IFERROR(IF(SelectMemberOrg = "*", $M154, _xlfn.AGGREGATE(15, 6, (1/(MemberOrg_Data[Auditee Name] = SelectMemberOrg))*ROW(MemberOrg_Data[Auditee Name]), $M154)-FPWA_TopRow), ""))</f>
        <v/>
      </c>
    </row>
    <row r="155" spans="4:15" x14ac:dyDescent="0.25">
      <c r="D155">
        <v>147</v>
      </c>
      <c r="E155">
        <v>1</v>
      </c>
      <c r="F155" t="str">
        <f>IF($D155&gt;NumRow, "",IFERROR(IF(SelectFedGrant="*",$D155, _xlfn.AGGREGATE(15,6,(1/(FedGrant_Data[Grant Name] = SelectFedGrant))*ROW(FedGrant_Data[Grant Name]), $D155)-TopRow), ""))</f>
        <v/>
      </c>
      <c r="M155">
        <v>147</v>
      </c>
      <c r="N155">
        <v>1</v>
      </c>
      <c r="O155" t="str">
        <f>IF($M155 &gt; FPWA_NumRow, "", IFERROR(IF(SelectMemberOrg = "*", $M155, _xlfn.AGGREGATE(15, 6, (1/(MemberOrg_Data[Auditee Name] = SelectMemberOrg))*ROW(MemberOrg_Data[Auditee Name]), $M155)-FPWA_TopRow), ""))</f>
        <v/>
      </c>
    </row>
    <row r="156" spans="4:15" x14ac:dyDescent="0.25">
      <c r="D156">
        <v>148</v>
      </c>
      <c r="E156">
        <v>1</v>
      </c>
      <c r="F156" t="str">
        <f>IF($D156&gt;NumRow, "",IFERROR(IF(SelectFedGrant="*",$D156, _xlfn.AGGREGATE(15,6,(1/(FedGrant_Data[Grant Name] = SelectFedGrant))*ROW(FedGrant_Data[Grant Name]), $D156)-TopRow), ""))</f>
        <v/>
      </c>
      <c r="M156">
        <v>148</v>
      </c>
      <c r="N156">
        <v>1</v>
      </c>
      <c r="O156" t="str">
        <f>IF($M156 &gt; FPWA_NumRow, "", IFERROR(IF(SelectMemberOrg = "*", $M156, _xlfn.AGGREGATE(15, 6, (1/(MemberOrg_Data[Auditee Name] = SelectMemberOrg))*ROW(MemberOrg_Data[Auditee Name]), $M156)-FPWA_TopRow), ""))</f>
        <v/>
      </c>
    </row>
    <row r="157" spans="4:15" x14ac:dyDescent="0.25">
      <c r="D157">
        <v>149</v>
      </c>
      <c r="E157">
        <v>1</v>
      </c>
      <c r="F157" t="str">
        <f>IF($D157&gt;NumRow, "",IFERROR(IF(SelectFedGrant="*",$D157, _xlfn.AGGREGATE(15,6,(1/(FedGrant_Data[Grant Name] = SelectFedGrant))*ROW(FedGrant_Data[Grant Name]), $D157)-TopRow), ""))</f>
        <v/>
      </c>
      <c r="M157">
        <v>149</v>
      </c>
      <c r="N157">
        <v>1</v>
      </c>
      <c r="O157" t="str">
        <f>IF($M157 &gt; FPWA_NumRow, "", IFERROR(IF(SelectMemberOrg = "*", $M157, _xlfn.AGGREGATE(15, 6, (1/(MemberOrg_Data[Auditee Name] = SelectMemberOrg))*ROW(MemberOrg_Data[Auditee Name]), $M157)-FPWA_TopRow), ""))</f>
        <v/>
      </c>
    </row>
    <row r="158" spans="4:15" x14ac:dyDescent="0.25">
      <c r="D158">
        <v>150</v>
      </c>
      <c r="E158">
        <v>1</v>
      </c>
      <c r="F158" t="str">
        <f>IF($D158&gt;NumRow, "",IFERROR(IF(SelectFedGrant="*",$D158, _xlfn.AGGREGATE(15,6,(1/(FedGrant_Data[Grant Name] = SelectFedGrant))*ROW(FedGrant_Data[Grant Name]), $D158)-TopRow), ""))</f>
        <v/>
      </c>
      <c r="M158">
        <v>150</v>
      </c>
      <c r="N158">
        <v>1</v>
      </c>
      <c r="O158" t="str">
        <f>IF($M158 &gt; FPWA_NumRow, "", IFERROR(IF(SelectMemberOrg = "*", $M158, _xlfn.AGGREGATE(15, 6, (1/(MemberOrg_Data[Auditee Name] = SelectMemberOrg))*ROW(MemberOrg_Data[Auditee Name]), $M158)-FPWA_TopRow), ""))</f>
        <v/>
      </c>
    </row>
    <row r="159" spans="4:15" x14ac:dyDescent="0.25">
      <c r="D159">
        <v>151</v>
      </c>
      <c r="E159">
        <v>1</v>
      </c>
      <c r="F159" t="str">
        <f>IF($D159&gt;NumRow, "",IFERROR(IF(SelectFedGrant="*",$D159, _xlfn.AGGREGATE(15,6,(1/(FedGrant_Data[Grant Name] = SelectFedGrant))*ROW(FedGrant_Data[Grant Name]), $D159)-TopRow), ""))</f>
        <v/>
      </c>
      <c r="M159">
        <v>151</v>
      </c>
      <c r="N159">
        <v>1</v>
      </c>
      <c r="O159" t="str">
        <f>IF($M159 &gt; FPWA_NumRow, "", IFERROR(IF(SelectMemberOrg = "*", $M159, _xlfn.AGGREGATE(15, 6, (1/(MemberOrg_Data[Auditee Name] = SelectMemberOrg))*ROW(MemberOrg_Data[Auditee Name]), $M159)-FPWA_TopRow), ""))</f>
        <v/>
      </c>
    </row>
    <row r="160" spans="4:15" x14ac:dyDescent="0.25">
      <c r="D160">
        <v>152</v>
      </c>
      <c r="E160">
        <v>1</v>
      </c>
      <c r="F160" t="str">
        <f>IF($D160&gt;NumRow, "",IFERROR(IF(SelectFedGrant="*",$D160, _xlfn.AGGREGATE(15,6,(1/(FedGrant_Data[Grant Name] = SelectFedGrant))*ROW(FedGrant_Data[Grant Name]), $D160)-TopRow), ""))</f>
        <v/>
      </c>
      <c r="M160">
        <v>152</v>
      </c>
      <c r="N160">
        <v>1</v>
      </c>
      <c r="O160" t="str">
        <f>IF($M160 &gt; FPWA_NumRow, "", IFERROR(IF(SelectMemberOrg = "*", $M160, _xlfn.AGGREGATE(15, 6, (1/(MemberOrg_Data[Auditee Name] = SelectMemberOrg))*ROW(MemberOrg_Data[Auditee Name]), $M160)-FPWA_TopRow), ""))</f>
        <v/>
      </c>
    </row>
    <row r="161" spans="4:15" x14ac:dyDescent="0.25">
      <c r="D161">
        <v>153</v>
      </c>
      <c r="E161">
        <v>1</v>
      </c>
      <c r="F161" t="str">
        <f>IF($D161&gt;NumRow, "",IFERROR(IF(SelectFedGrant="*",$D161, _xlfn.AGGREGATE(15,6,(1/(FedGrant_Data[Grant Name] = SelectFedGrant))*ROW(FedGrant_Data[Grant Name]), $D161)-TopRow), ""))</f>
        <v/>
      </c>
      <c r="M161">
        <v>153</v>
      </c>
      <c r="N161">
        <v>1</v>
      </c>
      <c r="O161" t="str">
        <f>IF($M161 &gt; FPWA_NumRow, "", IFERROR(IF(SelectMemberOrg = "*", $M161, _xlfn.AGGREGATE(15, 6, (1/(MemberOrg_Data[Auditee Name] = SelectMemberOrg))*ROW(MemberOrg_Data[Auditee Name]), $M161)-FPWA_TopRow), ""))</f>
        <v/>
      </c>
    </row>
    <row r="162" spans="4:15" x14ac:dyDescent="0.25">
      <c r="D162">
        <v>154</v>
      </c>
      <c r="E162">
        <v>1</v>
      </c>
      <c r="F162" t="str">
        <f>IF($D162&gt;NumRow, "",IFERROR(IF(SelectFedGrant="*",$D162, _xlfn.AGGREGATE(15,6,(1/(FedGrant_Data[Grant Name] = SelectFedGrant))*ROW(FedGrant_Data[Grant Name]), $D162)-TopRow), ""))</f>
        <v/>
      </c>
      <c r="M162">
        <v>154</v>
      </c>
      <c r="N162">
        <v>1</v>
      </c>
      <c r="O162" t="str">
        <f>IF($M162 &gt; FPWA_NumRow, "", IFERROR(IF(SelectMemberOrg = "*", $M162, _xlfn.AGGREGATE(15, 6, (1/(MemberOrg_Data[Auditee Name] = SelectMemberOrg))*ROW(MemberOrg_Data[Auditee Name]), $M162)-FPWA_TopRow), ""))</f>
        <v/>
      </c>
    </row>
    <row r="163" spans="4:15" x14ac:dyDescent="0.25">
      <c r="D163">
        <v>155</v>
      </c>
      <c r="E163">
        <v>1</v>
      </c>
      <c r="F163" t="str">
        <f>IF($D163&gt;NumRow, "",IFERROR(IF(SelectFedGrant="*",$D163, _xlfn.AGGREGATE(15,6,(1/(FedGrant_Data[Grant Name] = SelectFedGrant))*ROW(FedGrant_Data[Grant Name]), $D163)-TopRow), ""))</f>
        <v/>
      </c>
      <c r="M163">
        <v>155</v>
      </c>
      <c r="N163">
        <v>1</v>
      </c>
      <c r="O163" t="str">
        <f>IF($M163 &gt; FPWA_NumRow, "", IFERROR(IF(SelectMemberOrg = "*", $M163, _xlfn.AGGREGATE(15, 6, (1/(MemberOrg_Data[Auditee Name] = SelectMemberOrg))*ROW(MemberOrg_Data[Auditee Name]), $M163)-FPWA_TopRow), ""))</f>
        <v/>
      </c>
    </row>
    <row r="164" spans="4:15" x14ac:dyDescent="0.25">
      <c r="D164">
        <v>156</v>
      </c>
      <c r="E164">
        <v>1</v>
      </c>
      <c r="F164" t="str">
        <f>IF($D164&gt;NumRow, "",IFERROR(IF(SelectFedGrant="*",$D164, _xlfn.AGGREGATE(15,6,(1/(FedGrant_Data[Grant Name] = SelectFedGrant))*ROW(FedGrant_Data[Grant Name]), $D164)-TopRow), ""))</f>
        <v/>
      </c>
      <c r="M164">
        <v>156</v>
      </c>
      <c r="N164">
        <v>1</v>
      </c>
      <c r="O164" t="str">
        <f>IF($M164 &gt; FPWA_NumRow, "", IFERROR(IF(SelectMemberOrg = "*", $M164, _xlfn.AGGREGATE(15, 6, (1/(MemberOrg_Data[Auditee Name] = SelectMemberOrg))*ROW(MemberOrg_Data[Auditee Name]), $M164)-FPWA_TopRow), ""))</f>
        <v/>
      </c>
    </row>
    <row r="165" spans="4:15" x14ac:dyDescent="0.25">
      <c r="D165">
        <v>157</v>
      </c>
      <c r="E165">
        <v>1</v>
      </c>
      <c r="F165" t="str">
        <f>IF($D165&gt;NumRow, "",IFERROR(IF(SelectFedGrant="*",$D165, _xlfn.AGGREGATE(15,6,(1/(FedGrant_Data[Grant Name] = SelectFedGrant))*ROW(FedGrant_Data[Grant Name]), $D165)-TopRow), ""))</f>
        <v/>
      </c>
      <c r="M165">
        <v>157</v>
      </c>
      <c r="N165">
        <v>1</v>
      </c>
      <c r="O165" t="str">
        <f>IF($M165 &gt; FPWA_NumRow, "", IFERROR(IF(SelectMemberOrg = "*", $M165, _xlfn.AGGREGATE(15, 6, (1/(MemberOrg_Data[Auditee Name] = SelectMemberOrg))*ROW(MemberOrg_Data[Auditee Name]), $M165)-FPWA_TopRow), ""))</f>
        <v/>
      </c>
    </row>
    <row r="166" spans="4:15" x14ac:dyDescent="0.25">
      <c r="D166">
        <v>158</v>
      </c>
      <c r="E166">
        <v>1</v>
      </c>
      <c r="F166" t="str">
        <f>IF($D166&gt;NumRow, "",IFERROR(IF(SelectFedGrant="*",$D166, _xlfn.AGGREGATE(15,6,(1/(FedGrant_Data[Grant Name] = SelectFedGrant))*ROW(FedGrant_Data[Grant Name]), $D166)-TopRow), ""))</f>
        <v/>
      </c>
      <c r="M166">
        <v>158</v>
      </c>
      <c r="N166">
        <v>1</v>
      </c>
      <c r="O166" t="str">
        <f>IF($M166 &gt; FPWA_NumRow, "", IFERROR(IF(SelectMemberOrg = "*", $M166, _xlfn.AGGREGATE(15, 6, (1/(MemberOrg_Data[Auditee Name] = SelectMemberOrg))*ROW(MemberOrg_Data[Auditee Name]), $M166)-FPWA_TopRow), ""))</f>
        <v/>
      </c>
    </row>
    <row r="167" spans="4:15" x14ac:dyDescent="0.25">
      <c r="D167">
        <v>159</v>
      </c>
      <c r="E167">
        <v>1</v>
      </c>
      <c r="F167" t="str">
        <f>IF($D167&gt;NumRow, "",IFERROR(IF(SelectFedGrant="*",$D167, _xlfn.AGGREGATE(15,6,(1/(FedGrant_Data[Grant Name] = SelectFedGrant))*ROW(FedGrant_Data[Grant Name]), $D167)-TopRow), ""))</f>
        <v/>
      </c>
      <c r="M167">
        <v>159</v>
      </c>
      <c r="N167">
        <v>1</v>
      </c>
      <c r="O167" t="str">
        <f>IF($M167 &gt; FPWA_NumRow, "", IFERROR(IF(SelectMemberOrg = "*", $M167, _xlfn.AGGREGATE(15, 6, (1/(MemberOrg_Data[Auditee Name] = SelectMemberOrg))*ROW(MemberOrg_Data[Auditee Name]), $M167)-FPWA_TopRow), ""))</f>
        <v/>
      </c>
    </row>
    <row r="168" spans="4:15" x14ac:dyDescent="0.25">
      <c r="D168">
        <v>160</v>
      </c>
      <c r="E168">
        <v>1</v>
      </c>
      <c r="F168" t="str">
        <f>IF($D168&gt;NumRow, "",IFERROR(IF(SelectFedGrant="*",$D168, _xlfn.AGGREGATE(15,6,(1/(FedGrant_Data[Grant Name] = SelectFedGrant))*ROW(FedGrant_Data[Grant Name]), $D168)-TopRow), ""))</f>
        <v/>
      </c>
      <c r="M168">
        <v>160</v>
      </c>
      <c r="N168">
        <v>1</v>
      </c>
      <c r="O168" t="str">
        <f>IF($M168 &gt; FPWA_NumRow, "", IFERROR(IF(SelectMemberOrg = "*", $M168, _xlfn.AGGREGATE(15, 6, (1/(MemberOrg_Data[Auditee Name] = SelectMemberOrg))*ROW(MemberOrg_Data[Auditee Name]), $M168)-FPWA_TopRow), ""))</f>
        <v/>
      </c>
    </row>
    <row r="169" spans="4:15" x14ac:dyDescent="0.25">
      <c r="D169">
        <v>161</v>
      </c>
      <c r="E169">
        <v>1</v>
      </c>
      <c r="F169" t="str">
        <f>IF($D169&gt;NumRow, "",IFERROR(IF(SelectFedGrant="*",$D169, _xlfn.AGGREGATE(15,6,(1/(FedGrant_Data[Grant Name] = SelectFedGrant))*ROW(FedGrant_Data[Grant Name]), $D169)-TopRow), ""))</f>
        <v/>
      </c>
      <c r="M169">
        <v>161</v>
      </c>
      <c r="N169">
        <v>1</v>
      </c>
      <c r="O169" t="str">
        <f>IF($M169 &gt; FPWA_NumRow, "", IFERROR(IF(SelectMemberOrg = "*", $M169, _xlfn.AGGREGATE(15, 6, (1/(MemberOrg_Data[Auditee Name] = SelectMemberOrg))*ROW(MemberOrg_Data[Auditee Name]), $M169)-FPWA_TopRow), ""))</f>
        <v/>
      </c>
    </row>
    <row r="170" spans="4:15" x14ac:dyDescent="0.25">
      <c r="D170">
        <v>162</v>
      </c>
      <c r="E170">
        <v>1</v>
      </c>
      <c r="F170" t="str">
        <f>IF($D170&gt;NumRow, "",IFERROR(IF(SelectFedGrant="*",$D170, _xlfn.AGGREGATE(15,6,(1/(FedGrant_Data[Grant Name] = SelectFedGrant))*ROW(FedGrant_Data[Grant Name]), $D170)-TopRow), ""))</f>
        <v/>
      </c>
      <c r="M170">
        <v>162</v>
      </c>
      <c r="N170">
        <v>1</v>
      </c>
      <c r="O170" t="str">
        <f>IF($M170 &gt; FPWA_NumRow, "", IFERROR(IF(SelectMemberOrg = "*", $M170, _xlfn.AGGREGATE(15, 6, (1/(MemberOrg_Data[Auditee Name] = SelectMemberOrg))*ROW(MemberOrg_Data[Auditee Name]), $M170)-FPWA_TopRow), ""))</f>
        <v/>
      </c>
    </row>
    <row r="171" spans="4:15" x14ac:dyDescent="0.25">
      <c r="D171">
        <v>163</v>
      </c>
      <c r="E171">
        <v>1</v>
      </c>
      <c r="F171" t="str">
        <f>IF($D171&gt;NumRow, "",IFERROR(IF(SelectFedGrant="*",$D171, _xlfn.AGGREGATE(15,6,(1/(FedGrant_Data[Grant Name] = SelectFedGrant))*ROW(FedGrant_Data[Grant Name]), $D171)-TopRow), ""))</f>
        <v/>
      </c>
      <c r="M171">
        <v>163</v>
      </c>
      <c r="N171">
        <v>1</v>
      </c>
      <c r="O171" t="str">
        <f>IF($M171 &gt; FPWA_NumRow, "", IFERROR(IF(SelectMemberOrg = "*", $M171, _xlfn.AGGREGATE(15, 6, (1/(MemberOrg_Data[Auditee Name] = SelectMemberOrg))*ROW(MemberOrg_Data[Auditee Name]), $M171)-FPWA_TopRow), ""))</f>
        <v/>
      </c>
    </row>
    <row r="172" spans="4:15" x14ac:dyDescent="0.25">
      <c r="D172">
        <v>164</v>
      </c>
      <c r="E172">
        <v>1</v>
      </c>
      <c r="F172" t="str">
        <f>IF($D172&gt;NumRow, "",IFERROR(IF(SelectFedGrant="*",$D172, _xlfn.AGGREGATE(15,6,(1/(FedGrant_Data[Grant Name] = SelectFedGrant))*ROW(FedGrant_Data[Grant Name]), $D172)-TopRow), ""))</f>
        <v/>
      </c>
      <c r="M172">
        <v>164</v>
      </c>
      <c r="N172">
        <v>1</v>
      </c>
      <c r="O172" t="str">
        <f>IF($M172 &gt; FPWA_NumRow, "", IFERROR(IF(SelectMemberOrg = "*", $M172, _xlfn.AGGREGATE(15, 6, (1/(MemberOrg_Data[Auditee Name] = SelectMemberOrg))*ROW(MemberOrg_Data[Auditee Name]), $M172)-FPWA_TopRow), ""))</f>
        <v/>
      </c>
    </row>
    <row r="173" spans="4:15" x14ac:dyDescent="0.25">
      <c r="D173">
        <v>165</v>
      </c>
      <c r="E173">
        <v>1</v>
      </c>
      <c r="F173" t="str">
        <f>IF($D173&gt;NumRow, "",IFERROR(IF(SelectFedGrant="*",$D173, _xlfn.AGGREGATE(15,6,(1/(FedGrant_Data[Grant Name] = SelectFedGrant))*ROW(FedGrant_Data[Grant Name]), $D173)-TopRow), ""))</f>
        <v/>
      </c>
      <c r="M173">
        <v>165</v>
      </c>
      <c r="N173">
        <v>1</v>
      </c>
      <c r="O173" t="str">
        <f>IF($M173 &gt; FPWA_NumRow, "", IFERROR(IF(SelectMemberOrg = "*", $M173, _xlfn.AGGREGATE(15, 6, (1/(MemberOrg_Data[Auditee Name] = SelectMemberOrg))*ROW(MemberOrg_Data[Auditee Name]), $M173)-FPWA_TopRow), ""))</f>
        <v/>
      </c>
    </row>
    <row r="174" spans="4:15" x14ac:dyDescent="0.25">
      <c r="D174">
        <v>166</v>
      </c>
      <c r="E174">
        <v>1</v>
      </c>
      <c r="F174" t="str">
        <f>IF($D174&gt;NumRow, "",IFERROR(IF(SelectFedGrant="*",$D174, _xlfn.AGGREGATE(15,6,(1/(FedGrant_Data[Grant Name] = SelectFedGrant))*ROW(FedGrant_Data[Grant Name]), $D174)-TopRow), ""))</f>
        <v/>
      </c>
      <c r="M174">
        <v>166</v>
      </c>
      <c r="N174">
        <v>1</v>
      </c>
      <c r="O174" t="str">
        <f>IF($M174 &gt; FPWA_NumRow, "", IFERROR(IF(SelectMemberOrg = "*", $M174, _xlfn.AGGREGATE(15, 6, (1/(MemberOrg_Data[Auditee Name] = SelectMemberOrg))*ROW(MemberOrg_Data[Auditee Name]), $M174)-FPWA_TopRow), ""))</f>
        <v/>
      </c>
    </row>
    <row r="175" spans="4:15" x14ac:dyDescent="0.25">
      <c r="D175">
        <v>167</v>
      </c>
      <c r="E175">
        <v>1</v>
      </c>
      <c r="F175" t="str">
        <f>IF($D175&gt;NumRow, "",IFERROR(IF(SelectFedGrant="*",$D175, _xlfn.AGGREGATE(15,6,(1/(FedGrant_Data[Grant Name] = SelectFedGrant))*ROW(FedGrant_Data[Grant Name]), $D175)-TopRow), ""))</f>
        <v/>
      </c>
      <c r="M175">
        <v>167</v>
      </c>
      <c r="N175">
        <v>1</v>
      </c>
      <c r="O175" t="str">
        <f>IF($M175 &gt; FPWA_NumRow, "", IFERROR(IF(SelectMemberOrg = "*", $M175, _xlfn.AGGREGATE(15, 6, (1/(MemberOrg_Data[Auditee Name] = SelectMemberOrg))*ROW(MemberOrg_Data[Auditee Name]), $M175)-FPWA_TopRow), ""))</f>
        <v/>
      </c>
    </row>
    <row r="176" spans="4:15" x14ac:dyDescent="0.25">
      <c r="D176">
        <v>168</v>
      </c>
      <c r="E176">
        <v>1</v>
      </c>
      <c r="F176" t="str">
        <f>IF($D176&gt;NumRow, "",IFERROR(IF(SelectFedGrant="*",$D176, _xlfn.AGGREGATE(15,6,(1/(FedGrant_Data[Grant Name] = SelectFedGrant))*ROW(FedGrant_Data[Grant Name]), $D176)-TopRow), ""))</f>
        <v/>
      </c>
      <c r="M176">
        <v>168</v>
      </c>
      <c r="N176">
        <v>1</v>
      </c>
      <c r="O176" t="str">
        <f>IF($M176 &gt; FPWA_NumRow, "", IFERROR(IF(SelectMemberOrg = "*", $M176, _xlfn.AGGREGATE(15, 6, (1/(MemberOrg_Data[Auditee Name] = SelectMemberOrg))*ROW(MemberOrg_Data[Auditee Name]), $M176)-FPWA_TopRow), ""))</f>
        <v/>
      </c>
    </row>
    <row r="177" spans="4:15" x14ac:dyDescent="0.25">
      <c r="D177">
        <v>169</v>
      </c>
      <c r="E177">
        <v>1</v>
      </c>
      <c r="F177" t="str">
        <f>IF($D177&gt;NumRow, "",IFERROR(IF(SelectFedGrant="*",$D177, _xlfn.AGGREGATE(15,6,(1/(FedGrant_Data[Grant Name] = SelectFedGrant))*ROW(FedGrant_Data[Grant Name]), $D177)-TopRow), ""))</f>
        <v/>
      </c>
      <c r="M177">
        <v>169</v>
      </c>
      <c r="N177">
        <v>1</v>
      </c>
      <c r="O177" t="str">
        <f>IF($M177 &gt; FPWA_NumRow, "", IFERROR(IF(SelectMemberOrg = "*", $M177, _xlfn.AGGREGATE(15, 6, (1/(MemberOrg_Data[Auditee Name] = SelectMemberOrg))*ROW(MemberOrg_Data[Auditee Name]), $M177)-FPWA_TopRow), ""))</f>
        <v/>
      </c>
    </row>
    <row r="178" spans="4:15" x14ac:dyDescent="0.25">
      <c r="D178">
        <v>170</v>
      </c>
      <c r="E178">
        <v>1</v>
      </c>
      <c r="F178" t="str">
        <f>IF($D178&gt;NumRow, "",IFERROR(IF(SelectFedGrant="*",$D178, _xlfn.AGGREGATE(15,6,(1/(FedGrant_Data[Grant Name] = SelectFedGrant))*ROW(FedGrant_Data[Grant Name]), $D178)-TopRow), ""))</f>
        <v/>
      </c>
      <c r="M178">
        <v>170</v>
      </c>
      <c r="N178">
        <v>1</v>
      </c>
      <c r="O178" t="str">
        <f>IF($M178 &gt; FPWA_NumRow, "", IFERROR(IF(SelectMemberOrg = "*", $M178, _xlfn.AGGREGATE(15, 6, (1/(MemberOrg_Data[Auditee Name] = SelectMemberOrg))*ROW(MemberOrg_Data[Auditee Name]), $M178)-FPWA_TopRow), ""))</f>
        <v/>
      </c>
    </row>
    <row r="179" spans="4:15" x14ac:dyDescent="0.25">
      <c r="D179">
        <v>171</v>
      </c>
      <c r="E179">
        <v>1</v>
      </c>
      <c r="F179" t="str">
        <f>IF($D179&gt;NumRow, "",IFERROR(IF(SelectFedGrant="*",$D179, _xlfn.AGGREGATE(15,6,(1/(FedGrant_Data[Grant Name] = SelectFedGrant))*ROW(FedGrant_Data[Grant Name]), $D179)-TopRow), ""))</f>
        <v/>
      </c>
      <c r="M179">
        <v>171</v>
      </c>
      <c r="N179">
        <v>1</v>
      </c>
      <c r="O179" t="str">
        <f>IF($M179 &gt; FPWA_NumRow, "", IFERROR(IF(SelectMemberOrg = "*", $M179, _xlfn.AGGREGATE(15, 6, (1/(MemberOrg_Data[Auditee Name] = SelectMemberOrg))*ROW(MemberOrg_Data[Auditee Name]), $M179)-FPWA_TopRow), ""))</f>
        <v/>
      </c>
    </row>
    <row r="180" spans="4:15" x14ac:dyDescent="0.25">
      <c r="D180">
        <v>172</v>
      </c>
      <c r="E180">
        <v>1</v>
      </c>
      <c r="F180" t="str">
        <f>IF($D180&gt;NumRow, "",IFERROR(IF(SelectFedGrant="*",$D180, _xlfn.AGGREGATE(15,6,(1/(FedGrant_Data[Grant Name] = SelectFedGrant))*ROW(FedGrant_Data[Grant Name]), $D180)-TopRow), ""))</f>
        <v/>
      </c>
      <c r="M180">
        <v>172</v>
      </c>
      <c r="N180">
        <v>1</v>
      </c>
      <c r="O180" t="str">
        <f>IF($M180 &gt; FPWA_NumRow, "", IFERROR(IF(SelectMemberOrg = "*", $M180, _xlfn.AGGREGATE(15, 6, (1/(MemberOrg_Data[Auditee Name] = SelectMemberOrg))*ROW(MemberOrg_Data[Auditee Name]), $M180)-FPWA_TopRow), ""))</f>
        <v/>
      </c>
    </row>
    <row r="181" spans="4:15" x14ac:dyDescent="0.25">
      <c r="D181">
        <v>173</v>
      </c>
      <c r="E181">
        <v>1</v>
      </c>
      <c r="F181" t="str">
        <f>IF($D181&gt;NumRow, "",IFERROR(IF(SelectFedGrant="*",$D181, _xlfn.AGGREGATE(15,6,(1/(FedGrant_Data[Grant Name] = SelectFedGrant))*ROW(FedGrant_Data[Grant Name]), $D181)-TopRow), ""))</f>
        <v/>
      </c>
      <c r="M181">
        <v>173</v>
      </c>
      <c r="N181">
        <v>1</v>
      </c>
      <c r="O181" t="str">
        <f>IF($M181 &gt; FPWA_NumRow, "", IFERROR(IF(SelectMemberOrg = "*", $M181, _xlfn.AGGREGATE(15, 6, (1/(MemberOrg_Data[Auditee Name] = SelectMemberOrg))*ROW(MemberOrg_Data[Auditee Name]), $M181)-FPWA_TopRow), ""))</f>
        <v/>
      </c>
    </row>
    <row r="182" spans="4:15" x14ac:dyDescent="0.25">
      <c r="D182">
        <v>174</v>
      </c>
      <c r="E182">
        <v>1</v>
      </c>
      <c r="F182" t="str">
        <f>IF($D182&gt;NumRow, "",IFERROR(IF(SelectFedGrant="*",$D182, _xlfn.AGGREGATE(15,6,(1/(FedGrant_Data[Grant Name] = SelectFedGrant))*ROW(FedGrant_Data[Grant Name]), $D182)-TopRow), ""))</f>
        <v/>
      </c>
      <c r="M182">
        <v>174</v>
      </c>
      <c r="N182">
        <v>1</v>
      </c>
      <c r="O182" t="str">
        <f>IF($M182 &gt; FPWA_NumRow, "", IFERROR(IF(SelectMemberOrg = "*", $M182, _xlfn.AGGREGATE(15, 6, (1/(MemberOrg_Data[Auditee Name] = SelectMemberOrg))*ROW(MemberOrg_Data[Auditee Name]), $M182)-FPWA_TopRow), ""))</f>
        <v/>
      </c>
    </row>
    <row r="183" spans="4:15" x14ac:dyDescent="0.25">
      <c r="D183">
        <v>175</v>
      </c>
      <c r="E183">
        <v>1</v>
      </c>
      <c r="F183" t="str">
        <f>IF($D183&gt;NumRow, "",IFERROR(IF(SelectFedGrant="*",$D183, _xlfn.AGGREGATE(15,6,(1/(FedGrant_Data[Grant Name] = SelectFedGrant))*ROW(FedGrant_Data[Grant Name]), $D183)-TopRow), ""))</f>
        <v/>
      </c>
      <c r="M183">
        <v>175</v>
      </c>
      <c r="N183">
        <v>1</v>
      </c>
      <c r="O183" t="str">
        <f>IF($M183 &gt; FPWA_NumRow, "", IFERROR(IF(SelectMemberOrg = "*", $M183, _xlfn.AGGREGATE(15, 6, (1/(MemberOrg_Data[Auditee Name] = SelectMemberOrg))*ROW(MemberOrg_Data[Auditee Name]), $M183)-FPWA_TopRow), ""))</f>
        <v/>
      </c>
    </row>
    <row r="184" spans="4:15" x14ac:dyDescent="0.25">
      <c r="D184">
        <v>176</v>
      </c>
      <c r="E184">
        <v>1</v>
      </c>
      <c r="F184" t="str">
        <f>IF($D184&gt;NumRow, "",IFERROR(IF(SelectFedGrant="*",$D184, _xlfn.AGGREGATE(15,6,(1/(FedGrant_Data[Grant Name] = SelectFedGrant))*ROW(FedGrant_Data[Grant Name]), $D184)-TopRow), ""))</f>
        <v/>
      </c>
      <c r="M184">
        <v>176</v>
      </c>
      <c r="N184">
        <v>1</v>
      </c>
      <c r="O184" t="str">
        <f>IF($M184 &gt; FPWA_NumRow, "", IFERROR(IF(SelectMemberOrg = "*", $M184, _xlfn.AGGREGATE(15, 6, (1/(MemberOrg_Data[Auditee Name] = SelectMemberOrg))*ROW(MemberOrg_Data[Auditee Name]), $M184)-FPWA_TopRow), ""))</f>
        <v/>
      </c>
    </row>
    <row r="185" spans="4:15" x14ac:dyDescent="0.25">
      <c r="D185">
        <v>177</v>
      </c>
      <c r="E185">
        <v>1</v>
      </c>
      <c r="F185" t="str">
        <f>IF($D185&gt;NumRow, "",IFERROR(IF(SelectFedGrant="*",$D185, _xlfn.AGGREGATE(15,6,(1/(FedGrant_Data[Grant Name] = SelectFedGrant))*ROW(FedGrant_Data[Grant Name]), $D185)-TopRow), ""))</f>
        <v/>
      </c>
      <c r="M185">
        <v>177</v>
      </c>
      <c r="N185">
        <v>1</v>
      </c>
      <c r="O185" t="str">
        <f>IF($M185 &gt; FPWA_NumRow, "", IFERROR(IF(SelectMemberOrg = "*", $M185, _xlfn.AGGREGATE(15, 6, (1/(MemberOrg_Data[Auditee Name] = SelectMemberOrg))*ROW(MemberOrg_Data[Auditee Name]), $M185)-FPWA_TopRow), ""))</f>
        <v/>
      </c>
    </row>
    <row r="186" spans="4:15" x14ac:dyDescent="0.25">
      <c r="D186">
        <v>178</v>
      </c>
      <c r="E186">
        <v>1</v>
      </c>
      <c r="F186" t="str">
        <f>IF($D186&gt;NumRow, "",IFERROR(IF(SelectFedGrant="*",$D186, _xlfn.AGGREGATE(15,6,(1/(FedGrant_Data[Grant Name] = SelectFedGrant))*ROW(FedGrant_Data[Grant Name]), $D186)-TopRow), ""))</f>
        <v/>
      </c>
      <c r="M186">
        <v>178</v>
      </c>
      <c r="N186">
        <v>1</v>
      </c>
      <c r="O186" t="str">
        <f>IF($M186 &gt; FPWA_NumRow, "", IFERROR(IF(SelectMemberOrg = "*", $M186, _xlfn.AGGREGATE(15, 6, (1/(MemberOrg_Data[Auditee Name] = SelectMemberOrg))*ROW(MemberOrg_Data[Auditee Name]), $M186)-FPWA_TopRow), ""))</f>
        <v/>
      </c>
    </row>
    <row r="187" spans="4:15" x14ac:dyDescent="0.25">
      <c r="D187">
        <v>179</v>
      </c>
      <c r="E187">
        <v>1</v>
      </c>
      <c r="F187" t="str">
        <f>IF($D187&gt;NumRow, "",IFERROR(IF(SelectFedGrant="*",$D187, _xlfn.AGGREGATE(15,6,(1/(FedGrant_Data[Grant Name] = SelectFedGrant))*ROW(FedGrant_Data[Grant Name]), $D187)-TopRow), ""))</f>
        <v/>
      </c>
      <c r="M187">
        <v>179</v>
      </c>
      <c r="N187">
        <v>1</v>
      </c>
      <c r="O187" t="str">
        <f>IF($M187 &gt; FPWA_NumRow, "", IFERROR(IF(SelectMemberOrg = "*", $M187, _xlfn.AGGREGATE(15, 6, (1/(MemberOrg_Data[Auditee Name] = SelectMemberOrg))*ROW(MemberOrg_Data[Auditee Name]), $M187)-FPWA_TopRow), ""))</f>
        <v/>
      </c>
    </row>
    <row r="188" spans="4:15" x14ac:dyDescent="0.25">
      <c r="D188">
        <v>180</v>
      </c>
      <c r="E188">
        <v>1</v>
      </c>
      <c r="F188" t="str">
        <f>IF($D188&gt;NumRow, "",IFERROR(IF(SelectFedGrant="*",$D188, _xlfn.AGGREGATE(15,6,(1/(FedGrant_Data[Grant Name] = SelectFedGrant))*ROW(FedGrant_Data[Grant Name]), $D188)-TopRow), ""))</f>
        <v/>
      </c>
      <c r="M188">
        <v>180</v>
      </c>
      <c r="N188">
        <v>1</v>
      </c>
      <c r="O188" t="str">
        <f>IF($M188 &gt; FPWA_NumRow, "", IFERROR(IF(SelectMemberOrg = "*", $M188, _xlfn.AGGREGATE(15, 6, (1/(MemberOrg_Data[Auditee Name] = SelectMemberOrg))*ROW(MemberOrg_Data[Auditee Name]), $M188)-FPWA_TopRow), ""))</f>
        <v/>
      </c>
    </row>
    <row r="189" spans="4:15" x14ac:dyDescent="0.25">
      <c r="D189">
        <v>181</v>
      </c>
      <c r="E189">
        <v>1</v>
      </c>
      <c r="F189" t="str">
        <f>IF($D189&gt;NumRow, "",IFERROR(IF(SelectFedGrant="*",$D189, _xlfn.AGGREGATE(15,6,(1/(FedGrant_Data[Grant Name] = SelectFedGrant))*ROW(FedGrant_Data[Grant Name]), $D189)-TopRow), ""))</f>
        <v/>
      </c>
      <c r="M189">
        <v>181</v>
      </c>
      <c r="N189">
        <v>1</v>
      </c>
      <c r="O189" t="str">
        <f>IF($M189 &gt; FPWA_NumRow, "", IFERROR(IF(SelectMemberOrg = "*", $M189, _xlfn.AGGREGATE(15, 6, (1/(MemberOrg_Data[Auditee Name] = SelectMemberOrg))*ROW(MemberOrg_Data[Auditee Name]), $M189)-FPWA_TopRow), ""))</f>
        <v/>
      </c>
    </row>
    <row r="190" spans="4:15" x14ac:dyDescent="0.25">
      <c r="D190">
        <v>182</v>
      </c>
      <c r="E190">
        <v>1</v>
      </c>
      <c r="F190" t="str">
        <f>IF($D190&gt;NumRow, "",IFERROR(IF(SelectFedGrant="*",$D190, _xlfn.AGGREGATE(15,6,(1/(FedGrant_Data[Grant Name] = SelectFedGrant))*ROW(FedGrant_Data[Grant Name]), $D190)-TopRow), ""))</f>
        <v/>
      </c>
      <c r="M190">
        <v>182</v>
      </c>
      <c r="N190">
        <v>1</v>
      </c>
      <c r="O190" t="str">
        <f>IF($M190 &gt; FPWA_NumRow, "", IFERROR(IF(SelectMemberOrg = "*", $M190, _xlfn.AGGREGATE(15, 6, (1/(MemberOrg_Data[Auditee Name] = SelectMemberOrg))*ROW(MemberOrg_Data[Auditee Name]), $M190)-FPWA_TopRow), ""))</f>
        <v/>
      </c>
    </row>
    <row r="191" spans="4:15" x14ac:dyDescent="0.25">
      <c r="D191">
        <v>183</v>
      </c>
      <c r="E191">
        <v>1</v>
      </c>
      <c r="F191" t="str">
        <f>IF($D191&gt;NumRow, "",IFERROR(IF(SelectFedGrant="*",$D191, _xlfn.AGGREGATE(15,6,(1/(FedGrant_Data[Grant Name] = SelectFedGrant))*ROW(FedGrant_Data[Grant Name]), $D191)-TopRow), ""))</f>
        <v/>
      </c>
      <c r="M191">
        <v>183</v>
      </c>
      <c r="N191">
        <v>1</v>
      </c>
      <c r="O191" t="str">
        <f>IF($M191 &gt; FPWA_NumRow, "", IFERROR(IF(SelectMemberOrg = "*", $M191, _xlfn.AGGREGATE(15, 6, (1/(MemberOrg_Data[Auditee Name] = SelectMemberOrg))*ROW(MemberOrg_Data[Auditee Name]), $M191)-FPWA_TopRow), ""))</f>
        <v/>
      </c>
    </row>
    <row r="192" spans="4:15" x14ac:dyDescent="0.25">
      <c r="D192">
        <v>184</v>
      </c>
      <c r="E192">
        <v>1</v>
      </c>
      <c r="F192" t="str">
        <f>IF($D192&gt;NumRow, "",IFERROR(IF(SelectFedGrant="*",$D192, _xlfn.AGGREGATE(15,6,(1/(FedGrant_Data[Grant Name] = SelectFedGrant))*ROW(FedGrant_Data[Grant Name]), $D192)-TopRow), ""))</f>
        <v/>
      </c>
      <c r="M192">
        <v>184</v>
      </c>
      <c r="N192">
        <v>1</v>
      </c>
      <c r="O192" t="str">
        <f>IF($M192 &gt; FPWA_NumRow, "", IFERROR(IF(SelectMemberOrg = "*", $M192, _xlfn.AGGREGATE(15, 6, (1/(MemberOrg_Data[Auditee Name] = SelectMemberOrg))*ROW(MemberOrg_Data[Auditee Name]), $M192)-FPWA_TopRow), ""))</f>
        <v/>
      </c>
    </row>
    <row r="193" spans="4:15" x14ac:dyDescent="0.25">
      <c r="D193">
        <v>185</v>
      </c>
      <c r="E193">
        <v>1</v>
      </c>
      <c r="F193" t="str">
        <f>IF($D193&gt;NumRow, "",IFERROR(IF(SelectFedGrant="*",$D193, _xlfn.AGGREGATE(15,6,(1/(FedGrant_Data[Grant Name] = SelectFedGrant))*ROW(FedGrant_Data[Grant Name]), $D193)-TopRow), ""))</f>
        <v/>
      </c>
      <c r="M193">
        <v>185</v>
      </c>
      <c r="N193">
        <v>1</v>
      </c>
      <c r="O193" t="str">
        <f>IF($M193 &gt; FPWA_NumRow, "", IFERROR(IF(SelectMemberOrg = "*", $M193, _xlfn.AGGREGATE(15, 6, (1/(MemberOrg_Data[Auditee Name] = SelectMemberOrg))*ROW(MemberOrg_Data[Auditee Name]), $M193)-FPWA_TopRow), ""))</f>
        <v/>
      </c>
    </row>
    <row r="194" spans="4:15" x14ac:dyDescent="0.25">
      <c r="D194">
        <v>186</v>
      </c>
      <c r="E194">
        <v>1</v>
      </c>
      <c r="F194" t="str">
        <f>IF($D194&gt;NumRow, "",IFERROR(IF(SelectFedGrant="*",$D194, _xlfn.AGGREGATE(15,6,(1/(FedGrant_Data[Grant Name] = SelectFedGrant))*ROW(FedGrant_Data[Grant Name]), $D194)-TopRow), ""))</f>
        <v/>
      </c>
      <c r="M194">
        <v>186</v>
      </c>
      <c r="N194">
        <v>1</v>
      </c>
      <c r="O194" t="str">
        <f>IF($M194 &gt; FPWA_NumRow, "", IFERROR(IF(SelectMemberOrg = "*", $M194, _xlfn.AGGREGATE(15, 6, (1/(MemberOrg_Data[Auditee Name] = SelectMemberOrg))*ROW(MemberOrg_Data[Auditee Name]), $M194)-FPWA_TopRow), ""))</f>
        <v/>
      </c>
    </row>
    <row r="195" spans="4:15" x14ac:dyDescent="0.25">
      <c r="D195">
        <v>187</v>
      </c>
      <c r="E195">
        <v>1</v>
      </c>
      <c r="F195" t="str">
        <f>IF($D195&gt;NumRow, "",IFERROR(IF(SelectFedGrant="*",$D195, _xlfn.AGGREGATE(15,6,(1/(FedGrant_Data[Grant Name] = SelectFedGrant))*ROW(FedGrant_Data[Grant Name]), $D195)-TopRow), ""))</f>
        <v/>
      </c>
      <c r="M195">
        <v>187</v>
      </c>
      <c r="N195">
        <v>1</v>
      </c>
      <c r="O195" t="str">
        <f>IF($M195 &gt; FPWA_NumRow, "", IFERROR(IF(SelectMemberOrg = "*", $M195, _xlfn.AGGREGATE(15, 6, (1/(MemberOrg_Data[Auditee Name] = SelectMemberOrg))*ROW(MemberOrg_Data[Auditee Name]), $M195)-FPWA_TopRow), ""))</f>
        <v/>
      </c>
    </row>
    <row r="196" spans="4:15" x14ac:dyDescent="0.25">
      <c r="D196">
        <v>188</v>
      </c>
      <c r="E196">
        <v>1</v>
      </c>
      <c r="F196" t="str">
        <f>IF($D196&gt;NumRow, "",IFERROR(IF(SelectFedGrant="*",$D196, _xlfn.AGGREGATE(15,6,(1/(FedGrant_Data[Grant Name] = SelectFedGrant))*ROW(FedGrant_Data[Grant Name]), $D196)-TopRow), ""))</f>
        <v/>
      </c>
      <c r="M196">
        <v>188</v>
      </c>
      <c r="N196">
        <v>1</v>
      </c>
      <c r="O196" t="str">
        <f>IF($M196 &gt; FPWA_NumRow, "", IFERROR(IF(SelectMemberOrg = "*", $M196, _xlfn.AGGREGATE(15, 6, (1/(MemberOrg_Data[Auditee Name] = SelectMemberOrg))*ROW(MemberOrg_Data[Auditee Name]), $M196)-FPWA_TopRow), ""))</f>
        <v/>
      </c>
    </row>
    <row r="197" spans="4:15" x14ac:dyDescent="0.25">
      <c r="D197">
        <v>189</v>
      </c>
      <c r="E197">
        <v>1</v>
      </c>
      <c r="F197" t="str">
        <f>IF($D197&gt;NumRow, "",IFERROR(IF(SelectFedGrant="*",$D197, _xlfn.AGGREGATE(15,6,(1/(FedGrant_Data[Grant Name] = SelectFedGrant))*ROW(FedGrant_Data[Grant Name]), $D197)-TopRow), ""))</f>
        <v/>
      </c>
      <c r="M197">
        <v>189</v>
      </c>
      <c r="N197">
        <v>1</v>
      </c>
      <c r="O197" t="str">
        <f>IF($M197 &gt; FPWA_NumRow, "", IFERROR(IF(SelectMemberOrg = "*", $M197, _xlfn.AGGREGATE(15, 6, (1/(MemberOrg_Data[Auditee Name] = SelectMemberOrg))*ROW(MemberOrg_Data[Auditee Name]), $M197)-FPWA_TopRow), ""))</f>
        <v/>
      </c>
    </row>
    <row r="198" spans="4:15" x14ac:dyDescent="0.25">
      <c r="D198">
        <v>190</v>
      </c>
      <c r="E198">
        <v>1</v>
      </c>
      <c r="F198" t="str">
        <f>IF($D198&gt;NumRow, "",IFERROR(IF(SelectFedGrant="*",$D198, _xlfn.AGGREGATE(15,6,(1/(FedGrant_Data[Grant Name] = SelectFedGrant))*ROW(FedGrant_Data[Grant Name]), $D198)-TopRow), ""))</f>
        <v/>
      </c>
      <c r="M198">
        <v>190</v>
      </c>
      <c r="N198">
        <v>1</v>
      </c>
      <c r="O198" t="str">
        <f>IF($M198 &gt; FPWA_NumRow, "", IFERROR(IF(SelectMemberOrg = "*", $M198, _xlfn.AGGREGATE(15, 6, (1/(MemberOrg_Data[Auditee Name] = SelectMemberOrg))*ROW(MemberOrg_Data[Auditee Name]), $M198)-FPWA_TopRow), ""))</f>
        <v/>
      </c>
    </row>
    <row r="199" spans="4:15" x14ac:dyDescent="0.25">
      <c r="D199">
        <v>191</v>
      </c>
      <c r="E199">
        <v>1</v>
      </c>
      <c r="F199" t="str">
        <f>IF($D199&gt;NumRow, "",IFERROR(IF(SelectFedGrant="*",$D199, _xlfn.AGGREGATE(15,6,(1/(FedGrant_Data[Grant Name] = SelectFedGrant))*ROW(FedGrant_Data[Grant Name]), $D199)-TopRow), ""))</f>
        <v/>
      </c>
      <c r="M199">
        <v>191</v>
      </c>
      <c r="N199">
        <v>1</v>
      </c>
      <c r="O199" t="str">
        <f>IF($M199 &gt; FPWA_NumRow, "", IFERROR(IF(SelectMemberOrg = "*", $M199, _xlfn.AGGREGATE(15, 6, (1/(MemberOrg_Data[Auditee Name] = SelectMemberOrg))*ROW(MemberOrg_Data[Auditee Name]), $M199)-FPWA_TopRow), ""))</f>
        <v/>
      </c>
    </row>
    <row r="200" spans="4:15" x14ac:dyDescent="0.25">
      <c r="D200">
        <v>192</v>
      </c>
      <c r="E200">
        <v>1</v>
      </c>
      <c r="F200" t="str">
        <f>IF($D200&gt;NumRow, "",IFERROR(IF(SelectFedGrant="*",$D200, _xlfn.AGGREGATE(15,6,(1/(FedGrant_Data[Grant Name] = SelectFedGrant))*ROW(FedGrant_Data[Grant Name]), $D200)-TopRow), ""))</f>
        <v/>
      </c>
      <c r="M200">
        <v>192</v>
      </c>
      <c r="N200">
        <v>1</v>
      </c>
      <c r="O200" t="str">
        <f>IF($M200 &gt; FPWA_NumRow, "", IFERROR(IF(SelectMemberOrg = "*", $M200, _xlfn.AGGREGATE(15, 6, (1/(MemberOrg_Data[Auditee Name] = SelectMemberOrg))*ROW(MemberOrg_Data[Auditee Name]), $M200)-FPWA_TopRow), ""))</f>
        <v/>
      </c>
    </row>
    <row r="201" spans="4:15" x14ac:dyDescent="0.25">
      <c r="D201">
        <v>193</v>
      </c>
      <c r="E201">
        <v>1</v>
      </c>
      <c r="F201" t="str">
        <f>IF($D201&gt;NumRow, "",IFERROR(IF(SelectFedGrant="*",$D201, _xlfn.AGGREGATE(15,6,(1/(FedGrant_Data[Grant Name] = SelectFedGrant))*ROW(FedGrant_Data[Grant Name]), $D201)-TopRow), ""))</f>
        <v/>
      </c>
      <c r="M201">
        <v>193</v>
      </c>
      <c r="N201">
        <v>1</v>
      </c>
      <c r="O201" t="str">
        <f>IF($M201 &gt; FPWA_NumRow, "", IFERROR(IF(SelectMemberOrg = "*", $M201, _xlfn.AGGREGATE(15, 6, (1/(MemberOrg_Data[Auditee Name] = SelectMemberOrg))*ROW(MemberOrg_Data[Auditee Name]), $M201)-FPWA_TopRow), ""))</f>
        <v/>
      </c>
    </row>
    <row r="202" spans="4:15" x14ac:dyDescent="0.25">
      <c r="D202">
        <v>194</v>
      </c>
      <c r="E202">
        <v>1</v>
      </c>
      <c r="F202" t="str">
        <f>IF($D202&gt;NumRow, "",IFERROR(IF(SelectFedGrant="*",$D202, _xlfn.AGGREGATE(15,6,(1/(FedGrant_Data[Grant Name] = SelectFedGrant))*ROW(FedGrant_Data[Grant Name]), $D202)-TopRow), ""))</f>
        <v/>
      </c>
      <c r="M202">
        <v>194</v>
      </c>
      <c r="N202">
        <v>1</v>
      </c>
      <c r="O202" t="str">
        <f>IF($M202 &gt; FPWA_NumRow, "", IFERROR(IF(SelectMemberOrg = "*", $M202, _xlfn.AGGREGATE(15, 6, (1/(MemberOrg_Data[Auditee Name] = SelectMemberOrg))*ROW(MemberOrg_Data[Auditee Name]), $M202)-FPWA_TopRow), ""))</f>
        <v/>
      </c>
    </row>
    <row r="203" spans="4:15" x14ac:dyDescent="0.25">
      <c r="D203">
        <v>195</v>
      </c>
      <c r="E203">
        <v>1</v>
      </c>
      <c r="F203" t="str">
        <f>IF($D203&gt;NumRow, "",IFERROR(IF(SelectFedGrant="*",$D203, _xlfn.AGGREGATE(15,6,(1/(FedGrant_Data[Grant Name] = SelectFedGrant))*ROW(FedGrant_Data[Grant Name]), $D203)-TopRow), ""))</f>
        <v/>
      </c>
      <c r="M203">
        <v>195</v>
      </c>
      <c r="N203">
        <v>1</v>
      </c>
      <c r="O203" t="str">
        <f>IF($M203 &gt; FPWA_NumRow, "", IFERROR(IF(SelectMemberOrg = "*", $M203, _xlfn.AGGREGATE(15, 6, (1/(MemberOrg_Data[Auditee Name] = SelectMemberOrg))*ROW(MemberOrg_Data[Auditee Name]), $M203)-FPWA_TopRow), ""))</f>
        <v/>
      </c>
    </row>
    <row r="204" spans="4:15" x14ac:dyDescent="0.25">
      <c r="D204">
        <v>196</v>
      </c>
      <c r="E204">
        <v>1</v>
      </c>
      <c r="F204" t="str">
        <f>IF($D204&gt;NumRow, "",IFERROR(IF(SelectFedGrant="*",$D204, _xlfn.AGGREGATE(15,6,(1/(FedGrant_Data[Grant Name] = SelectFedGrant))*ROW(FedGrant_Data[Grant Name]), $D204)-TopRow), ""))</f>
        <v/>
      </c>
      <c r="M204">
        <v>196</v>
      </c>
      <c r="N204">
        <v>1</v>
      </c>
      <c r="O204" t="str">
        <f>IF($M204 &gt; FPWA_NumRow, "", IFERROR(IF(SelectMemberOrg = "*", $M204, _xlfn.AGGREGATE(15, 6, (1/(MemberOrg_Data[Auditee Name] = SelectMemberOrg))*ROW(MemberOrg_Data[Auditee Name]), $M204)-FPWA_TopRow), ""))</f>
        <v/>
      </c>
    </row>
    <row r="205" spans="4:15" x14ac:dyDescent="0.25">
      <c r="D205">
        <v>197</v>
      </c>
      <c r="E205">
        <v>1</v>
      </c>
      <c r="F205" t="str">
        <f>IF($D205&gt;NumRow, "",IFERROR(IF(SelectFedGrant="*",$D205, _xlfn.AGGREGATE(15,6,(1/(FedGrant_Data[Grant Name] = SelectFedGrant))*ROW(FedGrant_Data[Grant Name]), $D205)-TopRow), ""))</f>
        <v/>
      </c>
      <c r="M205">
        <v>197</v>
      </c>
      <c r="N205">
        <v>1</v>
      </c>
      <c r="O205" t="str">
        <f>IF($M205 &gt; FPWA_NumRow, "", IFERROR(IF(SelectMemberOrg = "*", $M205, _xlfn.AGGREGATE(15, 6, (1/(MemberOrg_Data[Auditee Name] = SelectMemberOrg))*ROW(MemberOrg_Data[Auditee Name]), $M205)-FPWA_TopRow), ""))</f>
        <v/>
      </c>
    </row>
    <row r="206" spans="4:15" x14ac:dyDescent="0.25">
      <c r="D206">
        <v>198</v>
      </c>
      <c r="E206">
        <v>1</v>
      </c>
      <c r="F206" t="str">
        <f>IF($D206&gt;NumRow, "",IFERROR(IF(SelectFedGrant="*",$D206, _xlfn.AGGREGATE(15,6,(1/(FedGrant_Data[Grant Name] = SelectFedGrant))*ROW(FedGrant_Data[Grant Name]), $D206)-TopRow), ""))</f>
        <v/>
      </c>
      <c r="M206">
        <v>198</v>
      </c>
      <c r="N206">
        <v>1</v>
      </c>
      <c r="O206" t="str">
        <f>IF($M206 &gt; FPWA_NumRow, "", IFERROR(IF(SelectMemberOrg = "*", $M206, _xlfn.AGGREGATE(15, 6, (1/(MemberOrg_Data[Auditee Name] = SelectMemberOrg))*ROW(MemberOrg_Data[Auditee Name]), $M206)-FPWA_TopRow), ""))</f>
        <v/>
      </c>
    </row>
    <row r="207" spans="4:15" x14ac:dyDescent="0.25">
      <c r="D207">
        <v>199</v>
      </c>
      <c r="E207">
        <v>1</v>
      </c>
      <c r="F207" t="str">
        <f>IF($D207&gt;NumRow, "",IFERROR(IF(SelectFedGrant="*",$D207, _xlfn.AGGREGATE(15,6,(1/(FedGrant_Data[Grant Name] = SelectFedGrant))*ROW(FedGrant_Data[Grant Name]), $D207)-TopRow), ""))</f>
        <v/>
      </c>
      <c r="M207">
        <v>199</v>
      </c>
      <c r="N207">
        <v>1</v>
      </c>
      <c r="O207" t="str">
        <f>IF($M207 &gt; FPWA_NumRow, "", IFERROR(IF(SelectMemberOrg = "*", $M207, _xlfn.AGGREGATE(15, 6, (1/(MemberOrg_Data[Auditee Name] = SelectMemberOrg))*ROW(MemberOrg_Data[Auditee Name]), $M207)-FPWA_TopRow), ""))</f>
        <v/>
      </c>
    </row>
    <row r="208" spans="4:15" x14ac:dyDescent="0.25">
      <c r="D208">
        <v>200</v>
      </c>
      <c r="E208">
        <v>1</v>
      </c>
      <c r="F208" t="str">
        <f>IF($D208&gt;NumRow, "",IFERROR(IF(SelectFedGrant="*",$D208, _xlfn.AGGREGATE(15,6,(1/(FedGrant_Data[Grant Name] = SelectFedGrant))*ROW(FedGrant_Data[Grant Name]), $D208)-TopRow), ""))</f>
        <v/>
      </c>
      <c r="M208">
        <v>200</v>
      </c>
      <c r="N208">
        <v>1</v>
      </c>
      <c r="O208" t="str">
        <f>IF($M208 &gt; FPWA_NumRow, "", IFERROR(IF(SelectMemberOrg = "*", $M208, _xlfn.AGGREGATE(15, 6, (1/(MemberOrg_Data[Auditee Name] = SelectMemberOrg))*ROW(MemberOrg_Data[Auditee Name]), $M208)-FPWA_TopRow), ""))</f>
        <v/>
      </c>
    </row>
    <row r="209" spans="4:15" x14ac:dyDescent="0.25">
      <c r="D209">
        <v>201</v>
      </c>
      <c r="E209">
        <v>1</v>
      </c>
      <c r="F209" t="str">
        <f>IF($D209&gt;NumRow, "",IFERROR(IF(SelectFedGrant="*",$D209, _xlfn.AGGREGATE(15,6,(1/(FedGrant_Data[Grant Name] = SelectFedGrant))*ROW(FedGrant_Data[Grant Name]), $D209)-TopRow), ""))</f>
        <v/>
      </c>
      <c r="M209">
        <v>201</v>
      </c>
      <c r="N209">
        <v>1</v>
      </c>
      <c r="O209" t="str">
        <f>IF($M209 &gt; FPWA_NumRow, "", IFERROR(IF(SelectMemberOrg = "*", $M209, _xlfn.AGGREGATE(15, 6, (1/(MemberOrg_Data[Auditee Name] = SelectMemberOrg))*ROW(MemberOrg_Data[Auditee Name]), $M209)-FPWA_TopRow), ""))</f>
        <v/>
      </c>
    </row>
    <row r="210" spans="4:15" x14ac:dyDescent="0.25">
      <c r="D210">
        <v>202</v>
      </c>
      <c r="E210">
        <v>1</v>
      </c>
      <c r="F210" t="str">
        <f>IF($D210&gt;NumRow, "",IFERROR(IF(SelectFedGrant="*",$D210, _xlfn.AGGREGATE(15,6,(1/(FedGrant_Data[Grant Name] = SelectFedGrant))*ROW(FedGrant_Data[Grant Name]), $D210)-TopRow), ""))</f>
        <v/>
      </c>
      <c r="M210">
        <v>202</v>
      </c>
      <c r="N210">
        <v>1</v>
      </c>
      <c r="O210" t="str">
        <f>IF($M210 &gt; FPWA_NumRow, "", IFERROR(IF(SelectMemberOrg = "*", $M210, _xlfn.AGGREGATE(15, 6, (1/(MemberOrg_Data[Auditee Name] = SelectMemberOrg))*ROW(MemberOrg_Data[Auditee Name]), $M210)-FPWA_TopRow), ""))</f>
        <v/>
      </c>
    </row>
    <row r="211" spans="4:15" x14ac:dyDescent="0.25">
      <c r="D211">
        <v>203</v>
      </c>
      <c r="E211">
        <v>1</v>
      </c>
      <c r="F211" t="str">
        <f>IF($D211&gt;NumRow, "",IFERROR(IF(SelectFedGrant="*",$D211, _xlfn.AGGREGATE(15,6,(1/(FedGrant_Data[Grant Name] = SelectFedGrant))*ROW(FedGrant_Data[Grant Name]), $D211)-TopRow), ""))</f>
        <v/>
      </c>
      <c r="M211">
        <v>203</v>
      </c>
      <c r="N211">
        <v>1</v>
      </c>
      <c r="O211" t="str">
        <f>IF($M211 &gt; FPWA_NumRow, "", IFERROR(IF(SelectMemberOrg = "*", $M211, _xlfn.AGGREGATE(15, 6, (1/(MemberOrg_Data[Auditee Name] = SelectMemberOrg))*ROW(MemberOrg_Data[Auditee Name]), $M211)-FPWA_TopRow), ""))</f>
        <v/>
      </c>
    </row>
    <row r="212" spans="4:15" x14ac:dyDescent="0.25">
      <c r="D212">
        <v>204</v>
      </c>
      <c r="E212">
        <v>1</v>
      </c>
      <c r="F212" t="str">
        <f>IF($D212&gt;NumRow, "",IFERROR(IF(SelectFedGrant="*",$D212, _xlfn.AGGREGATE(15,6,(1/(FedGrant_Data[Grant Name] = SelectFedGrant))*ROW(FedGrant_Data[Grant Name]), $D212)-TopRow), ""))</f>
        <v/>
      </c>
      <c r="M212">
        <v>204</v>
      </c>
      <c r="N212">
        <v>1</v>
      </c>
      <c r="O212" t="str">
        <f>IF($M212 &gt; FPWA_NumRow, "", IFERROR(IF(SelectMemberOrg = "*", $M212, _xlfn.AGGREGATE(15, 6, (1/(MemberOrg_Data[Auditee Name] = SelectMemberOrg))*ROW(MemberOrg_Data[Auditee Name]), $M212)-FPWA_TopRow), ""))</f>
        <v/>
      </c>
    </row>
    <row r="213" spans="4:15" x14ac:dyDescent="0.25">
      <c r="D213">
        <v>205</v>
      </c>
      <c r="E213">
        <v>1</v>
      </c>
      <c r="F213" t="str">
        <f>IF($D213&gt;NumRow, "",IFERROR(IF(SelectFedGrant="*",$D213, _xlfn.AGGREGATE(15,6,(1/(FedGrant_Data[Grant Name] = SelectFedGrant))*ROW(FedGrant_Data[Grant Name]), $D213)-TopRow), ""))</f>
        <v/>
      </c>
      <c r="M213">
        <v>205</v>
      </c>
      <c r="N213">
        <v>1</v>
      </c>
      <c r="O213" t="str">
        <f>IF($M213 &gt; FPWA_NumRow, "", IFERROR(IF(SelectMemberOrg = "*", $M213, _xlfn.AGGREGATE(15, 6, (1/(MemberOrg_Data[Auditee Name] = SelectMemberOrg))*ROW(MemberOrg_Data[Auditee Name]), $M213)-FPWA_TopRow), ""))</f>
        <v/>
      </c>
    </row>
    <row r="214" spans="4:15" x14ac:dyDescent="0.25">
      <c r="D214">
        <v>206</v>
      </c>
      <c r="E214">
        <v>1</v>
      </c>
      <c r="F214" t="str">
        <f>IF($D214&gt;NumRow, "",IFERROR(IF(SelectFedGrant="*",$D214, _xlfn.AGGREGATE(15,6,(1/(FedGrant_Data[Grant Name] = SelectFedGrant))*ROW(FedGrant_Data[Grant Name]), $D214)-TopRow), ""))</f>
        <v/>
      </c>
      <c r="M214">
        <v>206</v>
      </c>
      <c r="N214">
        <v>1</v>
      </c>
      <c r="O214" t="str">
        <f>IF($M214 &gt; FPWA_NumRow, "", IFERROR(IF(SelectMemberOrg = "*", $M214, _xlfn.AGGREGATE(15, 6, (1/(MemberOrg_Data[Auditee Name] = SelectMemberOrg))*ROW(MemberOrg_Data[Auditee Name]), $M214)-FPWA_TopRow), ""))</f>
        <v/>
      </c>
    </row>
    <row r="215" spans="4:15" x14ac:dyDescent="0.25">
      <c r="D215">
        <v>207</v>
      </c>
      <c r="E215">
        <v>1</v>
      </c>
      <c r="F215" t="str">
        <f>IF($D215&gt;NumRow, "",IFERROR(IF(SelectFedGrant="*",$D215, _xlfn.AGGREGATE(15,6,(1/(FedGrant_Data[Grant Name] = SelectFedGrant))*ROW(FedGrant_Data[Grant Name]), $D215)-TopRow), ""))</f>
        <v/>
      </c>
      <c r="M215">
        <v>207</v>
      </c>
      <c r="N215">
        <v>1</v>
      </c>
      <c r="O215" t="str">
        <f>IF($M215 &gt; FPWA_NumRow, "", IFERROR(IF(SelectMemberOrg = "*", $M215, _xlfn.AGGREGATE(15, 6, (1/(MemberOrg_Data[Auditee Name] = SelectMemberOrg))*ROW(MemberOrg_Data[Auditee Name]), $M215)-FPWA_TopRow), ""))</f>
        <v/>
      </c>
    </row>
    <row r="216" spans="4:15" x14ac:dyDescent="0.25">
      <c r="D216">
        <v>208</v>
      </c>
      <c r="E216">
        <v>1</v>
      </c>
      <c r="F216" t="str">
        <f>IF($D216&gt;NumRow, "",IFERROR(IF(SelectFedGrant="*",$D216, _xlfn.AGGREGATE(15,6,(1/(FedGrant_Data[Grant Name] = SelectFedGrant))*ROW(FedGrant_Data[Grant Name]), $D216)-TopRow), ""))</f>
        <v/>
      </c>
      <c r="M216">
        <v>208</v>
      </c>
      <c r="N216">
        <v>1</v>
      </c>
      <c r="O216" t="str">
        <f>IF($M216 &gt; FPWA_NumRow, "", IFERROR(IF(SelectMemberOrg = "*", $M216, _xlfn.AGGREGATE(15, 6, (1/(MemberOrg_Data[Auditee Name] = SelectMemberOrg))*ROW(MemberOrg_Data[Auditee Name]), $M216)-FPWA_TopRow), ""))</f>
        <v/>
      </c>
    </row>
    <row r="217" spans="4:15" x14ac:dyDescent="0.25">
      <c r="D217">
        <v>209</v>
      </c>
      <c r="E217">
        <v>1</v>
      </c>
      <c r="F217" t="str">
        <f>IF($D217&gt;NumRow, "",IFERROR(IF(SelectFedGrant="*",$D217, _xlfn.AGGREGATE(15,6,(1/(FedGrant_Data[Grant Name] = SelectFedGrant))*ROW(FedGrant_Data[Grant Name]), $D217)-TopRow), ""))</f>
        <v/>
      </c>
      <c r="M217">
        <v>209</v>
      </c>
      <c r="N217">
        <v>1</v>
      </c>
      <c r="O217" t="str">
        <f>IF($M217 &gt; FPWA_NumRow, "", IFERROR(IF(SelectMemberOrg = "*", $M217, _xlfn.AGGREGATE(15, 6, (1/(MemberOrg_Data[Auditee Name] = SelectMemberOrg))*ROW(MemberOrg_Data[Auditee Name]), $M217)-FPWA_TopRow), ""))</f>
        <v/>
      </c>
    </row>
    <row r="218" spans="4:15" x14ac:dyDescent="0.25">
      <c r="D218">
        <v>210</v>
      </c>
      <c r="E218">
        <v>1</v>
      </c>
      <c r="F218" t="str">
        <f>IF($D218&gt;NumRow, "",IFERROR(IF(SelectFedGrant="*",$D218, _xlfn.AGGREGATE(15,6,(1/(FedGrant_Data[Grant Name] = SelectFedGrant))*ROW(FedGrant_Data[Grant Name]), $D218)-TopRow), ""))</f>
        <v/>
      </c>
      <c r="M218">
        <v>210</v>
      </c>
      <c r="N218">
        <v>1</v>
      </c>
      <c r="O218" t="str">
        <f>IF($M218 &gt; FPWA_NumRow, "", IFERROR(IF(SelectMemberOrg = "*", $M218, _xlfn.AGGREGATE(15, 6, (1/(MemberOrg_Data[Auditee Name] = SelectMemberOrg))*ROW(MemberOrg_Data[Auditee Name]), $M218)-FPWA_TopRow), ""))</f>
        <v/>
      </c>
    </row>
    <row r="219" spans="4:15" x14ac:dyDescent="0.25">
      <c r="D219">
        <v>211</v>
      </c>
      <c r="E219">
        <v>1</v>
      </c>
      <c r="F219" t="str">
        <f>IF($D219&gt;NumRow, "",IFERROR(IF(SelectFedGrant="*",$D219, _xlfn.AGGREGATE(15,6,(1/(FedGrant_Data[Grant Name] = SelectFedGrant))*ROW(FedGrant_Data[Grant Name]), $D219)-TopRow), ""))</f>
        <v/>
      </c>
      <c r="M219">
        <v>211</v>
      </c>
      <c r="N219">
        <v>1</v>
      </c>
      <c r="O219" t="str">
        <f>IF($M219 &gt; FPWA_NumRow, "", IFERROR(IF(SelectMemberOrg = "*", $M219, _xlfn.AGGREGATE(15, 6, (1/(MemberOrg_Data[Auditee Name] = SelectMemberOrg))*ROW(MemberOrg_Data[Auditee Name]), $M219)-FPWA_TopRow), ""))</f>
        <v/>
      </c>
    </row>
    <row r="220" spans="4:15" x14ac:dyDescent="0.25">
      <c r="D220">
        <v>212</v>
      </c>
      <c r="E220">
        <v>1</v>
      </c>
      <c r="F220" t="str">
        <f>IF($D220&gt;NumRow, "",IFERROR(IF(SelectFedGrant="*",$D220, _xlfn.AGGREGATE(15,6,(1/(FedGrant_Data[Grant Name] = SelectFedGrant))*ROW(FedGrant_Data[Grant Name]), $D220)-TopRow), ""))</f>
        <v/>
      </c>
      <c r="M220">
        <v>212</v>
      </c>
      <c r="N220">
        <v>1</v>
      </c>
      <c r="O220" t="str">
        <f>IF($M220 &gt; FPWA_NumRow, "", IFERROR(IF(SelectMemberOrg = "*", $M220, _xlfn.AGGREGATE(15, 6, (1/(MemberOrg_Data[Auditee Name] = SelectMemberOrg))*ROW(MemberOrg_Data[Auditee Name]), $M220)-FPWA_TopRow), ""))</f>
        <v/>
      </c>
    </row>
    <row r="221" spans="4:15" x14ac:dyDescent="0.25">
      <c r="D221">
        <v>213</v>
      </c>
      <c r="E221">
        <v>1</v>
      </c>
      <c r="F221" t="str">
        <f>IF($D221&gt;NumRow, "",IFERROR(IF(SelectFedGrant="*",$D221, _xlfn.AGGREGATE(15,6,(1/(FedGrant_Data[Grant Name] = SelectFedGrant))*ROW(FedGrant_Data[Grant Name]), $D221)-TopRow), ""))</f>
        <v/>
      </c>
      <c r="M221">
        <v>213</v>
      </c>
      <c r="N221">
        <v>1</v>
      </c>
      <c r="O221" t="str">
        <f>IF($M221 &gt; FPWA_NumRow, "", IFERROR(IF(SelectMemberOrg = "*", $M221, _xlfn.AGGREGATE(15, 6, (1/(MemberOrg_Data[Auditee Name] = SelectMemberOrg))*ROW(MemberOrg_Data[Auditee Name]), $M221)-FPWA_TopRow), ""))</f>
        <v/>
      </c>
    </row>
    <row r="222" spans="4:15" x14ac:dyDescent="0.25">
      <c r="D222">
        <v>214</v>
      </c>
      <c r="E222">
        <v>1</v>
      </c>
      <c r="F222" t="str">
        <f>IF($D222&gt;NumRow, "",IFERROR(IF(SelectFedGrant="*",$D222, _xlfn.AGGREGATE(15,6,(1/(FedGrant_Data[Grant Name] = SelectFedGrant))*ROW(FedGrant_Data[Grant Name]), $D222)-TopRow), ""))</f>
        <v/>
      </c>
      <c r="M222">
        <v>214</v>
      </c>
      <c r="N222">
        <v>1</v>
      </c>
      <c r="O222" t="str">
        <f>IF($M222 &gt; FPWA_NumRow, "", IFERROR(IF(SelectMemberOrg = "*", $M222, _xlfn.AGGREGATE(15, 6, (1/(MemberOrg_Data[Auditee Name] = SelectMemberOrg))*ROW(MemberOrg_Data[Auditee Name]), $M222)-FPWA_TopRow), ""))</f>
        <v/>
      </c>
    </row>
    <row r="223" spans="4:15" x14ac:dyDescent="0.25">
      <c r="D223">
        <v>215</v>
      </c>
      <c r="E223">
        <v>1</v>
      </c>
      <c r="F223" t="str">
        <f>IF($D223&gt;NumRow, "",IFERROR(IF(SelectFedGrant="*",$D223, _xlfn.AGGREGATE(15,6,(1/(FedGrant_Data[Grant Name] = SelectFedGrant))*ROW(FedGrant_Data[Grant Name]), $D223)-TopRow), ""))</f>
        <v/>
      </c>
      <c r="M223">
        <v>215</v>
      </c>
      <c r="N223">
        <v>1</v>
      </c>
      <c r="O223" t="str">
        <f>IF($M223 &gt; FPWA_NumRow, "", IFERROR(IF(SelectMemberOrg = "*", $M223, _xlfn.AGGREGATE(15, 6, (1/(MemberOrg_Data[Auditee Name] = SelectMemberOrg))*ROW(MemberOrg_Data[Auditee Name]), $M223)-FPWA_TopRow), ""))</f>
        <v/>
      </c>
    </row>
    <row r="224" spans="4:15" x14ac:dyDescent="0.25">
      <c r="D224">
        <v>216</v>
      </c>
      <c r="E224">
        <v>1</v>
      </c>
      <c r="F224" t="str">
        <f>IF($D224&gt;NumRow, "",IFERROR(IF(SelectFedGrant="*",$D224, _xlfn.AGGREGATE(15,6,(1/(FedGrant_Data[Grant Name] = SelectFedGrant))*ROW(FedGrant_Data[Grant Name]), $D224)-TopRow), ""))</f>
        <v/>
      </c>
      <c r="M224">
        <v>216</v>
      </c>
      <c r="N224">
        <v>1</v>
      </c>
      <c r="O224" t="str">
        <f>IF($M224 &gt; FPWA_NumRow, "", IFERROR(IF(SelectMemberOrg = "*", $M224, _xlfn.AGGREGATE(15, 6, (1/(MemberOrg_Data[Auditee Name] = SelectMemberOrg))*ROW(MemberOrg_Data[Auditee Name]), $M224)-FPWA_TopRow), ""))</f>
        <v/>
      </c>
    </row>
    <row r="225" spans="4:15" x14ac:dyDescent="0.25">
      <c r="D225">
        <v>217</v>
      </c>
      <c r="E225">
        <v>1</v>
      </c>
      <c r="F225" t="str">
        <f>IF($D225&gt;NumRow, "",IFERROR(IF(SelectFedGrant="*",$D225, _xlfn.AGGREGATE(15,6,(1/(FedGrant_Data[Grant Name] = SelectFedGrant))*ROW(FedGrant_Data[Grant Name]), $D225)-TopRow), ""))</f>
        <v/>
      </c>
      <c r="M225">
        <v>217</v>
      </c>
      <c r="N225">
        <v>1</v>
      </c>
      <c r="O225" t="str">
        <f>IF($M225 &gt; FPWA_NumRow, "", IFERROR(IF(SelectMemberOrg = "*", $M225, _xlfn.AGGREGATE(15, 6, (1/(MemberOrg_Data[Auditee Name] = SelectMemberOrg))*ROW(MemberOrg_Data[Auditee Name]), $M225)-FPWA_TopRow), ""))</f>
        <v/>
      </c>
    </row>
    <row r="226" spans="4:15" x14ac:dyDescent="0.25">
      <c r="D226">
        <v>218</v>
      </c>
      <c r="E226">
        <v>1</v>
      </c>
      <c r="F226" t="str">
        <f>IF($D226&gt;NumRow, "",IFERROR(IF(SelectFedGrant="*",$D226, _xlfn.AGGREGATE(15,6,(1/(FedGrant_Data[Grant Name] = SelectFedGrant))*ROW(FedGrant_Data[Grant Name]), $D226)-TopRow), ""))</f>
        <v/>
      </c>
      <c r="M226">
        <v>218</v>
      </c>
      <c r="N226">
        <v>1</v>
      </c>
      <c r="O226" t="str">
        <f>IF($M226 &gt; FPWA_NumRow, "", IFERROR(IF(SelectMemberOrg = "*", $M226, _xlfn.AGGREGATE(15, 6, (1/(MemberOrg_Data[Auditee Name] = SelectMemberOrg))*ROW(MemberOrg_Data[Auditee Name]), $M226)-FPWA_TopRow), ""))</f>
        <v/>
      </c>
    </row>
    <row r="227" spans="4:15" x14ac:dyDescent="0.25">
      <c r="D227">
        <v>219</v>
      </c>
      <c r="E227">
        <v>1</v>
      </c>
      <c r="F227" t="str">
        <f>IF($D227&gt;NumRow, "",IFERROR(IF(SelectFedGrant="*",$D227, _xlfn.AGGREGATE(15,6,(1/(FedGrant_Data[Grant Name] = SelectFedGrant))*ROW(FedGrant_Data[Grant Name]), $D227)-TopRow), ""))</f>
        <v/>
      </c>
      <c r="M227">
        <v>219</v>
      </c>
      <c r="N227">
        <v>1</v>
      </c>
      <c r="O227" t="str">
        <f>IF($M227 &gt; FPWA_NumRow, "", IFERROR(IF(SelectMemberOrg = "*", $M227, _xlfn.AGGREGATE(15, 6, (1/(MemberOrg_Data[Auditee Name] = SelectMemberOrg))*ROW(MemberOrg_Data[Auditee Name]), $M227)-FPWA_TopRow), ""))</f>
        <v/>
      </c>
    </row>
    <row r="228" spans="4:15" x14ac:dyDescent="0.25">
      <c r="D228">
        <v>220</v>
      </c>
      <c r="E228">
        <v>1</v>
      </c>
      <c r="F228" t="str">
        <f>IF($D228&gt;NumRow, "",IFERROR(IF(SelectFedGrant="*",$D228, _xlfn.AGGREGATE(15,6,(1/(FedGrant_Data[Grant Name] = SelectFedGrant))*ROW(FedGrant_Data[Grant Name]), $D228)-TopRow), ""))</f>
        <v/>
      </c>
      <c r="M228">
        <v>220</v>
      </c>
      <c r="N228">
        <v>1</v>
      </c>
      <c r="O228" t="str">
        <f>IF($M228 &gt; FPWA_NumRow, "", IFERROR(IF(SelectMemberOrg = "*", $M228, _xlfn.AGGREGATE(15, 6, (1/(MemberOrg_Data[Auditee Name] = SelectMemberOrg))*ROW(MemberOrg_Data[Auditee Name]), $M228)-FPWA_TopRow), ""))</f>
        <v/>
      </c>
    </row>
    <row r="229" spans="4:15" x14ac:dyDescent="0.25">
      <c r="D229">
        <v>221</v>
      </c>
      <c r="E229">
        <v>1</v>
      </c>
      <c r="F229" t="str">
        <f>IF($D229&gt;NumRow, "",IFERROR(IF(SelectFedGrant="*",$D229, _xlfn.AGGREGATE(15,6,(1/(FedGrant_Data[Grant Name] = SelectFedGrant))*ROW(FedGrant_Data[Grant Name]), $D229)-TopRow), ""))</f>
        <v/>
      </c>
      <c r="M229">
        <v>221</v>
      </c>
      <c r="N229">
        <v>1</v>
      </c>
      <c r="O229" t="str">
        <f>IF($M229 &gt; FPWA_NumRow, "", IFERROR(IF(SelectMemberOrg = "*", $M229, _xlfn.AGGREGATE(15, 6, (1/(MemberOrg_Data[Auditee Name] = SelectMemberOrg))*ROW(MemberOrg_Data[Auditee Name]), $M229)-FPWA_TopRow), ""))</f>
        <v/>
      </c>
    </row>
    <row r="230" spans="4:15" x14ac:dyDescent="0.25">
      <c r="D230">
        <v>222</v>
      </c>
      <c r="E230">
        <v>1</v>
      </c>
      <c r="F230" t="str">
        <f>IF($D230&gt;NumRow, "",IFERROR(IF(SelectFedGrant="*",$D230, _xlfn.AGGREGATE(15,6,(1/(FedGrant_Data[Grant Name] = SelectFedGrant))*ROW(FedGrant_Data[Grant Name]), $D230)-TopRow), ""))</f>
        <v/>
      </c>
      <c r="M230">
        <v>222</v>
      </c>
      <c r="N230">
        <v>1</v>
      </c>
      <c r="O230" t="str">
        <f>IF($M230 &gt; FPWA_NumRow, "", IFERROR(IF(SelectMemberOrg = "*", $M230, _xlfn.AGGREGATE(15, 6, (1/(MemberOrg_Data[Auditee Name] = SelectMemberOrg))*ROW(MemberOrg_Data[Auditee Name]), $M230)-FPWA_TopRow), ""))</f>
        <v/>
      </c>
    </row>
    <row r="231" spans="4:15" x14ac:dyDescent="0.25">
      <c r="D231">
        <v>223</v>
      </c>
      <c r="E231">
        <v>1</v>
      </c>
      <c r="F231" t="str">
        <f>IF($D231&gt;NumRow, "",IFERROR(IF(SelectFedGrant="*",$D231, _xlfn.AGGREGATE(15,6,(1/(FedGrant_Data[Grant Name] = SelectFedGrant))*ROW(FedGrant_Data[Grant Name]), $D231)-TopRow), ""))</f>
        <v/>
      </c>
      <c r="M231">
        <v>223</v>
      </c>
      <c r="N231">
        <v>1</v>
      </c>
      <c r="O231" t="str">
        <f>IF($M231 &gt; FPWA_NumRow, "", IFERROR(IF(SelectMemberOrg = "*", $M231, _xlfn.AGGREGATE(15, 6, (1/(MemberOrg_Data[Auditee Name] = SelectMemberOrg))*ROW(MemberOrg_Data[Auditee Name]), $M231)-FPWA_TopRow), ""))</f>
        <v/>
      </c>
    </row>
    <row r="232" spans="4:15" x14ac:dyDescent="0.25">
      <c r="D232">
        <v>224</v>
      </c>
      <c r="E232">
        <v>1</v>
      </c>
      <c r="F232" t="str">
        <f>IF($D232&gt;NumRow, "",IFERROR(IF(SelectFedGrant="*",$D232, _xlfn.AGGREGATE(15,6,(1/(FedGrant_Data[Grant Name] = SelectFedGrant))*ROW(FedGrant_Data[Grant Name]), $D232)-TopRow), ""))</f>
        <v/>
      </c>
      <c r="M232">
        <v>224</v>
      </c>
      <c r="N232">
        <v>1</v>
      </c>
      <c r="O232" t="str">
        <f>IF($M232 &gt; FPWA_NumRow, "", IFERROR(IF(SelectMemberOrg = "*", $M232, _xlfn.AGGREGATE(15, 6, (1/(MemberOrg_Data[Auditee Name] = SelectMemberOrg))*ROW(MemberOrg_Data[Auditee Name]), $M232)-FPWA_TopRow), ""))</f>
        <v/>
      </c>
    </row>
    <row r="233" spans="4:15" x14ac:dyDescent="0.25">
      <c r="D233">
        <v>225</v>
      </c>
      <c r="E233">
        <v>1</v>
      </c>
      <c r="F233" t="str">
        <f>IF($D233&gt;NumRow, "",IFERROR(IF(SelectFedGrant="*",$D233, _xlfn.AGGREGATE(15,6,(1/(FedGrant_Data[Grant Name] = SelectFedGrant))*ROW(FedGrant_Data[Grant Name]), $D233)-TopRow), ""))</f>
        <v/>
      </c>
      <c r="M233">
        <v>225</v>
      </c>
      <c r="N233">
        <v>1</v>
      </c>
      <c r="O233" t="str">
        <f>IF($M233 &gt; FPWA_NumRow, "", IFERROR(IF(SelectMemberOrg = "*", $M233, _xlfn.AGGREGATE(15, 6, (1/(MemberOrg_Data[Auditee Name] = SelectMemberOrg))*ROW(MemberOrg_Data[Auditee Name]), $M233)-FPWA_TopRow), ""))</f>
        <v/>
      </c>
    </row>
    <row r="234" spans="4:15" x14ac:dyDescent="0.25">
      <c r="D234">
        <v>226</v>
      </c>
      <c r="E234">
        <v>1</v>
      </c>
      <c r="F234" t="str">
        <f>IF($D234&gt;NumRow, "",IFERROR(IF(SelectFedGrant="*",$D234, _xlfn.AGGREGATE(15,6,(1/(FedGrant_Data[Grant Name] = SelectFedGrant))*ROW(FedGrant_Data[Grant Name]), $D234)-TopRow), ""))</f>
        <v/>
      </c>
      <c r="M234">
        <v>226</v>
      </c>
      <c r="N234">
        <v>1</v>
      </c>
      <c r="O234" t="str">
        <f>IF($M234 &gt; FPWA_NumRow, "", IFERROR(IF(SelectMemberOrg = "*", $M234, _xlfn.AGGREGATE(15, 6, (1/(MemberOrg_Data[Auditee Name] = SelectMemberOrg))*ROW(MemberOrg_Data[Auditee Name]), $M234)-FPWA_TopRow), ""))</f>
        <v/>
      </c>
    </row>
    <row r="235" spans="4:15" x14ac:dyDescent="0.25">
      <c r="D235">
        <v>227</v>
      </c>
      <c r="E235">
        <v>1</v>
      </c>
      <c r="F235" t="str">
        <f>IF($D235&gt;NumRow, "",IFERROR(IF(SelectFedGrant="*",$D235, _xlfn.AGGREGATE(15,6,(1/(FedGrant_Data[Grant Name] = SelectFedGrant))*ROW(FedGrant_Data[Grant Name]), $D235)-TopRow), ""))</f>
        <v/>
      </c>
      <c r="M235">
        <v>227</v>
      </c>
      <c r="N235">
        <v>1</v>
      </c>
      <c r="O235" t="str">
        <f>IF($M235 &gt; FPWA_NumRow, "", IFERROR(IF(SelectMemberOrg = "*", $M235, _xlfn.AGGREGATE(15, 6, (1/(MemberOrg_Data[Auditee Name] = SelectMemberOrg))*ROW(MemberOrg_Data[Auditee Name]), $M235)-FPWA_TopRow), ""))</f>
        <v/>
      </c>
    </row>
    <row r="236" spans="4:15" x14ac:dyDescent="0.25">
      <c r="D236">
        <v>228</v>
      </c>
      <c r="E236">
        <v>1</v>
      </c>
      <c r="F236" t="str">
        <f>IF($D236&gt;NumRow, "",IFERROR(IF(SelectFedGrant="*",$D236, _xlfn.AGGREGATE(15,6,(1/(FedGrant_Data[Grant Name] = SelectFedGrant))*ROW(FedGrant_Data[Grant Name]), $D236)-TopRow), ""))</f>
        <v/>
      </c>
      <c r="M236">
        <v>228</v>
      </c>
      <c r="N236">
        <v>1</v>
      </c>
      <c r="O236" t="str">
        <f>IF($M236 &gt; FPWA_NumRow, "", IFERROR(IF(SelectMemberOrg = "*", $M236, _xlfn.AGGREGATE(15, 6, (1/(MemberOrg_Data[Auditee Name] = SelectMemberOrg))*ROW(MemberOrg_Data[Auditee Name]), $M236)-FPWA_TopRow), ""))</f>
        <v/>
      </c>
    </row>
    <row r="237" spans="4:15" x14ac:dyDescent="0.25">
      <c r="D237">
        <v>229</v>
      </c>
      <c r="E237">
        <v>1</v>
      </c>
      <c r="F237" t="str">
        <f>IF($D237&gt;NumRow, "",IFERROR(IF(SelectFedGrant="*",$D237, _xlfn.AGGREGATE(15,6,(1/(FedGrant_Data[Grant Name] = SelectFedGrant))*ROW(FedGrant_Data[Grant Name]), $D237)-TopRow), ""))</f>
        <v/>
      </c>
      <c r="M237">
        <v>229</v>
      </c>
      <c r="N237">
        <v>1</v>
      </c>
      <c r="O237" t="str">
        <f>IF($M237 &gt; FPWA_NumRow, "", IFERROR(IF(SelectMemberOrg = "*", $M237, _xlfn.AGGREGATE(15, 6, (1/(MemberOrg_Data[Auditee Name] = SelectMemberOrg))*ROW(MemberOrg_Data[Auditee Name]), $M237)-FPWA_TopRow), ""))</f>
        <v/>
      </c>
    </row>
    <row r="238" spans="4:15" x14ac:dyDescent="0.25">
      <c r="D238">
        <v>230</v>
      </c>
      <c r="E238">
        <v>1</v>
      </c>
      <c r="F238" t="str">
        <f>IF($D238&gt;NumRow, "",IFERROR(IF(SelectFedGrant="*",$D238, _xlfn.AGGREGATE(15,6,(1/(FedGrant_Data[Grant Name] = SelectFedGrant))*ROW(FedGrant_Data[Grant Name]), $D238)-TopRow), ""))</f>
        <v/>
      </c>
      <c r="M238">
        <v>230</v>
      </c>
      <c r="N238">
        <v>1</v>
      </c>
      <c r="O238" t="str">
        <f>IF($M238 &gt; FPWA_NumRow, "", IFERROR(IF(SelectMemberOrg = "*", $M238, _xlfn.AGGREGATE(15, 6, (1/(MemberOrg_Data[Auditee Name] = SelectMemberOrg))*ROW(MemberOrg_Data[Auditee Name]), $M238)-FPWA_TopRow), ""))</f>
        <v/>
      </c>
    </row>
    <row r="239" spans="4:15" x14ac:dyDescent="0.25">
      <c r="D239">
        <v>231</v>
      </c>
      <c r="E239">
        <v>1</v>
      </c>
      <c r="F239" t="str">
        <f>IF($D239&gt;NumRow, "",IFERROR(IF(SelectFedGrant="*",$D239, _xlfn.AGGREGATE(15,6,(1/(FedGrant_Data[Grant Name] = SelectFedGrant))*ROW(FedGrant_Data[Grant Name]), $D239)-TopRow), ""))</f>
        <v/>
      </c>
      <c r="M239">
        <v>231</v>
      </c>
      <c r="N239">
        <v>1</v>
      </c>
      <c r="O239" t="str">
        <f>IF($M239 &gt; FPWA_NumRow, "", IFERROR(IF(SelectMemberOrg = "*", $M239, _xlfn.AGGREGATE(15, 6, (1/(MemberOrg_Data[Auditee Name] = SelectMemberOrg))*ROW(MemberOrg_Data[Auditee Name]), $M239)-FPWA_TopRow), ""))</f>
        <v/>
      </c>
    </row>
    <row r="240" spans="4:15" x14ac:dyDescent="0.25">
      <c r="D240">
        <v>232</v>
      </c>
      <c r="E240">
        <v>1</v>
      </c>
      <c r="F240" t="str">
        <f>IF($D240&gt;NumRow, "",IFERROR(IF(SelectFedGrant="*",$D240, _xlfn.AGGREGATE(15,6,(1/(FedGrant_Data[Grant Name] = SelectFedGrant))*ROW(FedGrant_Data[Grant Name]), $D240)-TopRow), ""))</f>
        <v/>
      </c>
      <c r="M240">
        <v>232</v>
      </c>
      <c r="N240">
        <v>1</v>
      </c>
      <c r="O240" t="str">
        <f>IF($M240 &gt; FPWA_NumRow, "", IFERROR(IF(SelectMemberOrg = "*", $M240, _xlfn.AGGREGATE(15, 6, (1/(MemberOrg_Data[Auditee Name] = SelectMemberOrg))*ROW(MemberOrg_Data[Auditee Name]), $M240)-FPWA_TopRow), ""))</f>
        <v/>
      </c>
    </row>
    <row r="241" spans="4:15" x14ac:dyDescent="0.25">
      <c r="D241">
        <v>233</v>
      </c>
      <c r="E241">
        <v>1</v>
      </c>
      <c r="F241" t="str">
        <f>IF($D241&gt;NumRow, "",IFERROR(IF(SelectFedGrant="*",$D241, _xlfn.AGGREGATE(15,6,(1/(FedGrant_Data[Grant Name] = SelectFedGrant))*ROW(FedGrant_Data[Grant Name]), $D241)-TopRow), ""))</f>
        <v/>
      </c>
      <c r="M241">
        <v>233</v>
      </c>
      <c r="N241">
        <v>1</v>
      </c>
      <c r="O241" t="str">
        <f>IF($M241 &gt; FPWA_NumRow, "", IFERROR(IF(SelectMemberOrg = "*", $M241, _xlfn.AGGREGATE(15, 6, (1/(MemberOrg_Data[Auditee Name] = SelectMemberOrg))*ROW(MemberOrg_Data[Auditee Name]), $M241)-FPWA_TopRow), ""))</f>
        <v/>
      </c>
    </row>
    <row r="242" spans="4:15" x14ac:dyDescent="0.25">
      <c r="D242">
        <v>234</v>
      </c>
      <c r="E242">
        <v>1</v>
      </c>
      <c r="F242" t="str">
        <f>IF($D242&gt;NumRow, "",IFERROR(IF(SelectFedGrant="*",$D242, _xlfn.AGGREGATE(15,6,(1/(FedGrant_Data[Grant Name] = SelectFedGrant))*ROW(FedGrant_Data[Grant Name]), $D242)-TopRow), ""))</f>
        <v/>
      </c>
      <c r="M242">
        <v>234</v>
      </c>
      <c r="N242">
        <v>1</v>
      </c>
      <c r="O242" t="str">
        <f>IF($M242 &gt; FPWA_NumRow, "", IFERROR(IF(SelectMemberOrg = "*", $M242, _xlfn.AGGREGATE(15, 6, (1/(MemberOrg_Data[Auditee Name] = SelectMemberOrg))*ROW(MemberOrg_Data[Auditee Name]), $M242)-FPWA_TopRow), ""))</f>
        <v/>
      </c>
    </row>
    <row r="243" spans="4:15" x14ac:dyDescent="0.25">
      <c r="D243">
        <v>235</v>
      </c>
      <c r="E243">
        <v>1</v>
      </c>
      <c r="F243" t="str">
        <f>IF($D243&gt;NumRow, "",IFERROR(IF(SelectFedGrant="*",$D243, _xlfn.AGGREGATE(15,6,(1/(FedGrant_Data[Grant Name] = SelectFedGrant))*ROW(FedGrant_Data[Grant Name]), $D243)-TopRow), ""))</f>
        <v/>
      </c>
      <c r="M243">
        <v>235</v>
      </c>
      <c r="N243">
        <v>1</v>
      </c>
      <c r="O243" t="str">
        <f>IF($M243 &gt; FPWA_NumRow, "", IFERROR(IF(SelectMemberOrg = "*", $M243, _xlfn.AGGREGATE(15, 6, (1/(MemberOrg_Data[Auditee Name] = SelectMemberOrg))*ROW(MemberOrg_Data[Auditee Name]), $M243)-FPWA_TopRow), ""))</f>
        <v/>
      </c>
    </row>
    <row r="244" spans="4:15" x14ac:dyDescent="0.25">
      <c r="D244">
        <v>236</v>
      </c>
      <c r="E244">
        <v>1</v>
      </c>
      <c r="F244" t="str">
        <f>IF($D244&gt;NumRow, "",IFERROR(IF(SelectFedGrant="*",$D244, _xlfn.AGGREGATE(15,6,(1/(FedGrant_Data[Grant Name] = SelectFedGrant))*ROW(FedGrant_Data[Grant Name]), $D244)-TopRow), ""))</f>
        <v/>
      </c>
      <c r="M244">
        <v>236</v>
      </c>
      <c r="N244">
        <v>1</v>
      </c>
      <c r="O244" t="str">
        <f>IF($M244 &gt; FPWA_NumRow, "", IFERROR(IF(SelectMemberOrg = "*", $M244, _xlfn.AGGREGATE(15, 6, (1/(MemberOrg_Data[Auditee Name] = SelectMemberOrg))*ROW(MemberOrg_Data[Auditee Name]), $M244)-FPWA_TopRow), ""))</f>
        <v/>
      </c>
    </row>
    <row r="245" spans="4:15" x14ac:dyDescent="0.25">
      <c r="D245">
        <v>237</v>
      </c>
      <c r="E245">
        <v>1</v>
      </c>
      <c r="F245" t="str">
        <f>IF($D245&gt;NumRow, "",IFERROR(IF(SelectFedGrant="*",$D245, _xlfn.AGGREGATE(15,6,(1/(FedGrant_Data[Grant Name] = SelectFedGrant))*ROW(FedGrant_Data[Grant Name]), $D245)-TopRow), ""))</f>
        <v/>
      </c>
      <c r="M245">
        <v>237</v>
      </c>
      <c r="N245">
        <v>1</v>
      </c>
      <c r="O245" t="str">
        <f>IF($M245 &gt; FPWA_NumRow, "", IFERROR(IF(SelectMemberOrg = "*", $M245, _xlfn.AGGREGATE(15, 6, (1/(MemberOrg_Data[Auditee Name] = SelectMemberOrg))*ROW(MemberOrg_Data[Auditee Name]), $M245)-FPWA_TopRow), ""))</f>
        <v/>
      </c>
    </row>
    <row r="246" spans="4:15" x14ac:dyDescent="0.25">
      <c r="D246">
        <v>238</v>
      </c>
      <c r="E246">
        <v>1</v>
      </c>
      <c r="F246" t="str">
        <f>IF($D246&gt;NumRow, "",IFERROR(IF(SelectFedGrant="*",$D246, _xlfn.AGGREGATE(15,6,(1/(FedGrant_Data[Grant Name] = SelectFedGrant))*ROW(FedGrant_Data[Grant Name]), $D246)-TopRow), ""))</f>
        <v/>
      </c>
      <c r="M246">
        <v>238</v>
      </c>
      <c r="N246">
        <v>1</v>
      </c>
      <c r="O246" t="str">
        <f>IF($M246 &gt; FPWA_NumRow, "", IFERROR(IF(SelectMemberOrg = "*", $M246, _xlfn.AGGREGATE(15, 6, (1/(MemberOrg_Data[Auditee Name] = SelectMemberOrg))*ROW(MemberOrg_Data[Auditee Name]), $M246)-FPWA_TopRow), ""))</f>
        <v/>
      </c>
    </row>
    <row r="247" spans="4:15" x14ac:dyDescent="0.25">
      <c r="D247">
        <v>239</v>
      </c>
      <c r="E247">
        <v>1</v>
      </c>
      <c r="F247" t="str">
        <f>IF($D247&gt;NumRow, "",IFERROR(IF(SelectFedGrant="*",$D247, _xlfn.AGGREGATE(15,6,(1/(FedGrant_Data[Grant Name] = SelectFedGrant))*ROW(FedGrant_Data[Grant Name]), $D247)-TopRow), ""))</f>
        <v/>
      </c>
      <c r="M247">
        <v>239</v>
      </c>
      <c r="N247">
        <v>1</v>
      </c>
      <c r="O247" t="str">
        <f>IF($M247 &gt; FPWA_NumRow, "", IFERROR(IF(SelectMemberOrg = "*", $M247, _xlfn.AGGREGATE(15, 6, (1/(MemberOrg_Data[Auditee Name] = SelectMemberOrg))*ROW(MemberOrg_Data[Auditee Name]), $M247)-FPWA_TopRow), ""))</f>
        <v/>
      </c>
    </row>
    <row r="248" spans="4:15" x14ac:dyDescent="0.25">
      <c r="D248">
        <v>240</v>
      </c>
      <c r="E248">
        <v>1</v>
      </c>
      <c r="F248" t="str">
        <f>IF($D248&gt;NumRow, "",IFERROR(IF(SelectFedGrant="*",$D248, _xlfn.AGGREGATE(15,6,(1/(FedGrant_Data[Grant Name] = SelectFedGrant))*ROW(FedGrant_Data[Grant Name]), $D248)-TopRow), ""))</f>
        <v/>
      </c>
      <c r="M248">
        <v>240</v>
      </c>
      <c r="N248">
        <v>1</v>
      </c>
      <c r="O248" t="str">
        <f>IF($M248 &gt; FPWA_NumRow, "", IFERROR(IF(SelectMemberOrg = "*", $M248, _xlfn.AGGREGATE(15, 6, (1/(MemberOrg_Data[Auditee Name] = SelectMemberOrg))*ROW(MemberOrg_Data[Auditee Name]), $M248)-FPWA_TopRow), ""))</f>
        <v/>
      </c>
    </row>
    <row r="249" spans="4:15" x14ac:dyDescent="0.25">
      <c r="D249">
        <v>241</v>
      </c>
      <c r="E249">
        <v>1</v>
      </c>
      <c r="F249" t="str">
        <f>IF($D249&gt;NumRow, "",IFERROR(IF(SelectFedGrant="*",$D249, _xlfn.AGGREGATE(15,6,(1/(FedGrant_Data[Grant Name] = SelectFedGrant))*ROW(FedGrant_Data[Grant Name]), $D249)-TopRow), ""))</f>
        <v/>
      </c>
      <c r="M249">
        <v>241</v>
      </c>
      <c r="N249">
        <v>1</v>
      </c>
      <c r="O249" t="str">
        <f>IF($M249 &gt; FPWA_NumRow, "", IFERROR(IF(SelectMemberOrg = "*", $M249, _xlfn.AGGREGATE(15, 6, (1/(MemberOrg_Data[Auditee Name] = SelectMemberOrg))*ROW(MemberOrg_Data[Auditee Name]), $M249)-FPWA_TopRow), ""))</f>
        <v/>
      </c>
    </row>
    <row r="250" spans="4:15" x14ac:dyDescent="0.25">
      <c r="D250">
        <v>242</v>
      </c>
      <c r="E250">
        <v>1</v>
      </c>
      <c r="F250" t="str">
        <f>IF($D250&gt;NumRow, "",IFERROR(IF(SelectFedGrant="*",$D250, _xlfn.AGGREGATE(15,6,(1/(FedGrant_Data[Grant Name] = SelectFedGrant))*ROW(FedGrant_Data[Grant Name]), $D250)-TopRow), ""))</f>
        <v/>
      </c>
      <c r="M250">
        <v>242</v>
      </c>
      <c r="N250">
        <v>1</v>
      </c>
      <c r="O250" t="str">
        <f>IF($M250 &gt; FPWA_NumRow, "", IFERROR(IF(SelectMemberOrg = "*", $M250, _xlfn.AGGREGATE(15, 6, (1/(MemberOrg_Data[Auditee Name] = SelectMemberOrg))*ROW(MemberOrg_Data[Auditee Name]), $M250)-FPWA_TopRow), ""))</f>
        <v/>
      </c>
    </row>
    <row r="251" spans="4:15" x14ac:dyDescent="0.25">
      <c r="D251">
        <v>243</v>
      </c>
      <c r="E251">
        <v>1</v>
      </c>
      <c r="F251" t="str">
        <f>IF($D251&gt;NumRow, "",IFERROR(IF(SelectFedGrant="*",$D251, _xlfn.AGGREGATE(15,6,(1/(FedGrant_Data[Grant Name] = SelectFedGrant))*ROW(FedGrant_Data[Grant Name]), $D251)-TopRow), ""))</f>
        <v/>
      </c>
      <c r="M251">
        <v>243</v>
      </c>
      <c r="N251">
        <v>1</v>
      </c>
      <c r="O251" t="str">
        <f>IF($M251 &gt; FPWA_NumRow, "", IFERROR(IF(SelectMemberOrg = "*", $M251, _xlfn.AGGREGATE(15, 6, (1/(MemberOrg_Data[Auditee Name] = SelectMemberOrg))*ROW(MemberOrg_Data[Auditee Name]), $M251)-FPWA_TopRow), ""))</f>
        <v/>
      </c>
    </row>
    <row r="252" spans="4:15" x14ac:dyDescent="0.25">
      <c r="D252">
        <v>244</v>
      </c>
      <c r="E252">
        <v>1</v>
      </c>
      <c r="F252" t="str">
        <f>IF($D252&gt;NumRow, "",IFERROR(IF(SelectFedGrant="*",$D252, _xlfn.AGGREGATE(15,6,(1/(FedGrant_Data[Grant Name] = SelectFedGrant))*ROW(FedGrant_Data[Grant Name]), $D252)-TopRow), ""))</f>
        <v/>
      </c>
      <c r="M252">
        <v>244</v>
      </c>
      <c r="N252">
        <v>1</v>
      </c>
      <c r="O252" t="str">
        <f>IF($M252 &gt; FPWA_NumRow, "", IFERROR(IF(SelectMemberOrg = "*", $M252, _xlfn.AGGREGATE(15, 6, (1/(MemberOrg_Data[Auditee Name] = SelectMemberOrg))*ROW(MemberOrg_Data[Auditee Name]), $M252)-FPWA_TopRow), ""))</f>
        <v/>
      </c>
    </row>
    <row r="253" spans="4:15" x14ac:dyDescent="0.25">
      <c r="D253">
        <v>245</v>
      </c>
      <c r="E253">
        <v>1</v>
      </c>
      <c r="F253" t="str">
        <f>IF($D253&gt;NumRow, "",IFERROR(IF(SelectFedGrant="*",$D253, _xlfn.AGGREGATE(15,6,(1/(FedGrant_Data[Grant Name] = SelectFedGrant))*ROW(FedGrant_Data[Grant Name]), $D253)-TopRow), ""))</f>
        <v/>
      </c>
      <c r="M253">
        <v>245</v>
      </c>
      <c r="N253">
        <v>1</v>
      </c>
      <c r="O253" t="str">
        <f>IF($M253 &gt; FPWA_NumRow, "", IFERROR(IF(SelectMemberOrg = "*", $M253, _xlfn.AGGREGATE(15, 6, (1/(MemberOrg_Data[Auditee Name] = SelectMemberOrg))*ROW(MemberOrg_Data[Auditee Name]), $M253)-FPWA_TopRow), ""))</f>
        <v/>
      </c>
    </row>
    <row r="254" spans="4:15" x14ac:dyDescent="0.25">
      <c r="D254">
        <v>246</v>
      </c>
      <c r="E254">
        <v>1</v>
      </c>
      <c r="F254" t="str">
        <f>IF($D254&gt;NumRow, "",IFERROR(IF(SelectFedGrant="*",$D254, _xlfn.AGGREGATE(15,6,(1/(FedGrant_Data[Grant Name] = SelectFedGrant))*ROW(FedGrant_Data[Grant Name]), $D254)-TopRow), ""))</f>
        <v/>
      </c>
      <c r="M254">
        <v>246</v>
      </c>
      <c r="N254">
        <v>1</v>
      </c>
      <c r="O254" t="str">
        <f>IF($M254 &gt; FPWA_NumRow, "", IFERROR(IF(SelectMemberOrg = "*", $M254, _xlfn.AGGREGATE(15, 6, (1/(MemberOrg_Data[Auditee Name] = SelectMemberOrg))*ROW(MemberOrg_Data[Auditee Name]), $M254)-FPWA_TopRow), ""))</f>
        <v/>
      </c>
    </row>
    <row r="255" spans="4:15" x14ac:dyDescent="0.25">
      <c r="D255">
        <v>247</v>
      </c>
      <c r="E255">
        <v>1</v>
      </c>
      <c r="F255" t="str">
        <f>IF($D255&gt;NumRow, "",IFERROR(IF(SelectFedGrant="*",$D255, _xlfn.AGGREGATE(15,6,(1/(FedGrant_Data[Grant Name] = SelectFedGrant))*ROW(FedGrant_Data[Grant Name]), $D255)-TopRow), ""))</f>
        <v/>
      </c>
      <c r="M255">
        <v>247</v>
      </c>
      <c r="N255">
        <v>1</v>
      </c>
      <c r="O255" t="str">
        <f>IF($M255 &gt; FPWA_NumRow, "", IFERROR(IF(SelectMemberOrg = "*", $M255, _xlfn.AGGREGATE(15, 6, (1/(MemberOrg_Data[Auditee Name] = SelectMemberOrg))*ROW(MemberOrg_Data[Auditee Name]), $M255)-FPWA_TopRow), ""))</f>
        <v/>
      </c>
    </row>
    <row r="256" spans="4:15" x14ac:dyDescent="0.25">
      <c r="D256">
        <v>248</v>
      </c>
      <c r="E256">
        <v>1</v>
      </c>
      <c r="F256" t="str">
        <f>IF($D256&gt;NumRow, "",IFERROR(IF(SelectFedGrant="*",$D256, _xlfn.AGGREGATE(15,6,(1/(FedGrant_Data[Grant Name] = SelectFedGrant))*ROW(FedGrant_Data[Grant Name]), $D256)-TopRow), ""))</f>
        <v/>
      </c>
      <c r="M256">
        <v>248</v>
      </c>
      <c r="N256">
        <v>1</v>
      </c>
      <c r="O256" t="str">
        <f>IF($M256 &gt; FPWA_NumRow, "", IFERROR(IF(SelectMemberOrg = "*", $M256, _xlfn.AGGREGATE(15, 6, (1/(MemberOrg_Data[Auditee Name] = SelectMemberOrg))*ROW(MemberOrg_Data[Auditee Name]), $M256)-FPWA_TopRow), ""))</f>
        <v/>
      </c>
    </row>
    <row r="257" spans="4:15" x14ac:dyDescent="0.25">
      <c r="D257">
        <v>249</v>
      </c>
      <c r="E257">
        <v>1</v>
      </c>
      <c r="F257" t="str">
        <f>IF($D257&gt;NumRow, "",IFERROR(IF(SelectFedGrant="*",$D257, _xlfn.AGGREGATE(15,6,(1/(FedGrant_Data[Grant Name] = SelectFedGrant))*ROW(FedGrant_Data[Grant Name]), $D257)-TopRow), ""))</f>
        <v/>
      </c>
      <c r="M257">
        <v>249</v>
      </c>
      <c r="N257">
        <v>1</v>
      </c>
      <c r="O257" t="str">
        <f>IF($M257 &gt; FPWA_NumRow, "", IFERROR(IF(SelectMemberOrg = "*", $M257, _xlfn.AGGREGATE(15, 6, (1/(MemberOrg_Data[Auditee Name] = SelectMemberOrg))*ROW(MemberOrg_Data[Auditee Name]), $M257)-FPWA_TopRow), ""))</f>
        <v/>
      </c>
    </row>
    <row r="258" spans="4:15" x14ac:dyDescent="0.25">
      <c r="D258">
        <v>250</v>
      </c>
      <c r="E258">
        <v>1</v>
      </c>
      <c r="F258" t="str">
        <f>IF($D258&gt;NumRow, "",IFERROR(IF(SelectFedGrant="*",$D258, _xlfn.AGGREGATE(15,6,(1/(FedGrant_Data[Grant Name] = SelectFedGrant))*ROW(FedGrant_Data[Grant Name]), $D258)-TopRow), ""))</f>
        <v/>
      </c>
      <c r="M258">
        <v>250</v>
      </c>
      <c r="N258">
        <v>1</v>
      </c>
      <c r="O258" t="str">
        <f>IF($M258 &gt; FPWA_NumRow, "", IFERROR(IF(SelectMemberOrg = "*", $M258, _xlfn.AGGREGATE(15, 6, (1/(MemberOrg_Data[Auditee Name] = SelectMemberOrg))*ROW(MemberOrg_Data[Auditee Name]), $M258)-FPWA_TopRow), ""))</f>
        <v/>
      </c>
    </row>
    <row r="259" spans="4:15" x14ac:dyDescent="0.25">
      <c r="D259">
        <v>251</v>
      </c>
      <c r="E259">
        <v>1</v>
      </c>
      <c r="F259" t="str">
        <f>IF($D259&gt;NumRow, "",IFERROR(IF(SelectFedGrant="*",$D259, _xlfn.AGGREGATE(15,6,(1/(FedGrant_Data[Grant Name] = SelectFedGrant))*ROW(FedGrant_Data[Grant Name]), $D259)-TopRow), ""))</f>
        <v/>
      </c>
      <c r="M259">
        <v>251</v>
      </c>
      <c r="N259">
        <v>1</v>
      </c>
      <c r="O259" t="str">
        <f>IF($M259 &gt; FPWA_NumRow, "", IFERROR(IF(SelectMemberOrg = "*", $M259, _xlfn.AGGREGATE(15, 6, (1/(MemberOrg_Data[Auditee Name] = SelectMemberOrg))*ROW(MemberOrg_Data[Auditee Name]), $M259)-FPWA_TopRow), ""))</f>
        <v/>
      </c>
    </row>
    <row r="260" spans="4:15" x14ac:dyDescent="0.25">
      <c r="D260">
        <v>252</v>
      </c>
      <c r="E260">
        <v>1</v>
      </c>
      <c r="F260" t="str">
        <f>IF($D260&gt;NumRow, "",IFERROR(IF(SelectFedGrant="*",$D260, _xlfn.AGGREGATE(15,6,(1/(FedGrant_Data[Grant Name] = SelectFedGrant))*ROW(FedGrant_Data[Grant Name]), $D260)-TopRow), ""))</f>
        <v/>
      </c>
      <c r="M260">
        <v>252</v>
      </c>
      <c r="N260">
        <v>1</v>
      </c>
      <c r="O260" t="str">
        <f>IF($M260 &gt; FPWA_NumRow, "", IFERROR(IF(SelectMemberOrg = "*", $M260, _xlfn.AGGREGATE(15, 6, (1/(MemberOrg_Data[Auditee Name] = SelectMemberOrg))*ROW(MemberOrg_Data[Auditee Name]), $M260)-FPWA_TopRow), ""))</f>
        <v/>
      </c>
    </row>
    <row r="261" spans="4:15" x14ac:dyDescent="0.25">
      <c r="D261">
        <v>253</v>
      </c>
      <c r="E261">
        <v>1</v>
      </c>
      <c r="F261" t="str">
        <f>IF($D261&gt;NumRow, "",IFERROR(IF(SelectFedGrant="*",$D261, _xlfn.AGGREGATE(15,6,(1/(FedGrant_Data[Grant Name] = SelectFedGrant))*ROW(FedGrant_Data[Grant Name]), $D261)-TopRow), ""))</f>
        <v/>
      </c>
      <c r="M261">
        <v>253</v>
      </c>
      <c r="N261">
        <v>1</v>
      </c>
      <c r="O261" t="str">
        <f>IF($M261 &gt; FPWA_NumRow, "", IFERROR(IF(SelectMemberOrg = "*", $M261, _xlfn.AGGREGATE(15, 6, (1/(MemberOrg_Data[Auditee Name] = SelectMemberOrg))*ROW(MemberOrg_Data[Auditee Name]), $M261)-FPWA_TopRow), ""))</f>
        <v/>
      </c>
    </row>
    <row r="262" spans="4:15" x14ac:dyDescent="0.25">
      <c r="D262">
        <v>254</v>
      </c>
      <c r="E262">
        <v>1</v>
      </c>
      <c r="F262" t="str">
        <f>IF($D262&gt;NumRow, "",IFERROR(IF(SelectFedGrant="*",$D262, _xlfn.AGGREGATE(15,6,(1/(FedGrant_Data[Grant Name] = SelectFedGrant))*ROW(FedGrant_Data[Grant Name]), $D262)-TopRow), ""))</f>
        <v/>
      </c>
      <c r="M262">
        <v>254</v>
      </c>
      <c r="N262">
        <v>1</v>
      </c>
      <c r="O262" t="str">
        <f>IF($M262 &gt; FPWA_NumRow, "", IFERROR(IF(SelectMemberOrg = "*", $M262, _xlfn.AGGREGATE(15, 6, (1/(MemberOrg_Data[Auditee Name] = SelectMemberOrg))*ROW(MemberOrg_Data[Auditee Name]), $M262)-FPWA_TopRow), ""))</f>
        <v/>
      </c>
    </row>
    <row r="263" spans="4:15" x14ac:dyDescent="0.25">
      <c r="D263">
        <v>255</v>
      </c>
      <c r="E263">
        <v>1</v>
      </c>
      <c r="F263" t="str">
        <f>IF($D263&gt;NumRow, "",IFERROR(IF(SelectFedGrant="*",$D263, _xlfn.AGGREGATE(15,6,(1/(FedGrant_Data[Grant Name] = SelectFedGrant))*ROW(FedGrant_Data[Grant Name]), $D263)-TopRow), ""))</f>
        <v/>
      </c>
      <c r="M263">
        <v>255</v>
      </c>
      <c r="N263">
        <v>1</v>
      </c>
      <c r="O263" t="str">
        <f>IF($M263 &gt; FPWA_NumRow, "", IFERROR(IF(SelectMemberOrg = "*", $M263, _xlfn.AGGREGATE(15, 6, (1/(MemberOrg_Data[Auditee Name] = SelectMemberOrg))*ROW(MemberOrg_Data[Auditee Name]), $M263)-FPWA_TopRow), ""))</f>
        <v/>
      </c>
    </row>
    <row r="264" spans="4:15" x14ac:dyDescent="0.25">
      <c r="D264">
        <v>256</v>
      </c>
      <c r="E264">
        <v>1</v>
      </c>
      <c r="F264" t="str">
        <f>IF($D264&gt;NumRow, "",IFERROR(IF(SelectFedGrant="*",$D264, _xlfn.AGGREGATE(15,6,(1/(FedGrant_Data[Grant Name] = SelectFedGrant))*ROW(FedGrant_Data[Grant Name]), $D264)-TopRow), ""))</f>
        <v/>
      </c>
      <c r="M264">
        <v>256</v>
      </c>
      <c r="N264">
        <v>1</v>
      </c>
      <c r="O264" t="str">
        <f>IF($M264 &gt; FPWA_NumRow, "", IFERROR(IF(SelectMemberOrg = "*", $M264, _xlfn.AGGREGATE(15, 6, (1/(MemberOrg_Data[Auditee Name] = SelectMemberOrg))*ROW(MemberOrg_Data[Auditee Name]), $M264)-FPWA_TopRow), ""))</f>
        <v/>
      </c>
    </row>
    <row r="265" spans="4:15" x14ac:dyDescent="0.25">
      <c r="D265">
        <v>257</v>
      </c>
      <c r="E265">
        <v>1</v>
      </c>
      <c r="F265" t="str">
        <f>IF($D265&gt;NumRow, "",IFERROR(IF(SelectFedGrant="*",$D265, _xlfn.AGGREGATE(15,6,(1/(FedGrant_Data[Grant Name] = SelectFedGrant))*ROW(FedGrant_Data[Grant Name]), $D265)-TopRow), ""))</f>
        <v/>
      </c>
      <c r="M265">
        <v>257</v>
      </c>
      <c r="N265">
        <v>1</v>
      </c>
      <c r="O265" t="str">
        <f>IF($M265 &gt; FPWA_NumRow, "", IFERROR(IF(SelectMemberOrg = "*", $M265, _xlfn.AGGREGATE(15, 6, (1/(MemberOrg_Data[Auditee Name] = SelectMemberOrg))*ROW(MemberOrg_Data[Auditee Name]), $M265)-FPWA_TopRow), ""))</f>
        <v/>
      </c>
    </row>
    <row r="266" spans="4:15" x14ac:dyDescent="0.25">
      <c r="D266">
        <v>258</v>
      </c>
      <c r="E266">
        <v>1</v>
      </c>
      <c r="F266" t="str">
        <f>IF($D266&gt;NumRow, "",IFERROR(IF(SelectFedGrant="*",$D266, _xlfn.AGGREGATE(15,6,(1/(FedGrant_Data[Grant Name] = SelectFedGrant))*ROW(FedGrant_Data[Grant Name]), $D266)-TopRow), ""))</f>
        <v/>
      </c>
    </row>
    <row r="267" spans="4:15" x14ac:dyDescent="0.25">
      <c r="D267">
        <v>259</v>
      </c>
      <c r="E267">
        <v>1</v>
      </c>
      <c r="F267" t="str">
        <f>IF($D267&gt;NumRow, "",IFERROR(IF(SelectFedGrant="*",$D267, _xlfn.AGGREGATE(15,6,(1/(FedGrant_Data[Grant Name] = SelectFedGrant))*ROW(FedGrant_Data[Grant Name]), $D267)-TopRow), ""))</f>
        <v/>
      </c>
    </row>
    <row r="268" spans="4:15" x14ac:dyDescent="0.25">
      <c r="D268">
        <v>260</v>
      </c>
      <c r="E268">
        <v>1</v>
      </c>
      <c r="F268" t="str">
        <f>IF($D268&gt;NumRow, "",IFERROR(IF(SelectFedGrant="*",$D268, _xlfn.AGGREGATE(15,6,(1/(FedGrant_Data[Grant Name] = SelectFedGrant))*ROW(FedGrant_Data[Grant Name]), $D268)-TopRow), ""))</f>
        <v/>
      </c>
    </row>
    <row r="269" spans="4:15" x14ac:dyDescent="0.25">
      <c r="D269">
        <v>261</v>
      </c>
      <c r="E269">
        <v>1</v>
      </c>
      <c r="F269" t="str">
        <f>IF($D269&gt;NumRow, "",IFERROR(IF(SelectFedGrant="*",$D269, _xlfn.AGGREGATE(15,6,(1/(FedGrant_Data[Grant Name] = SelectFedGrant))*ROW(FedGrant_Data[Grant Name]), $D269)-TopRow), ""))</f>
        <v/>
      </c>
    </row>
    <row r="270" spans="4:15" x14ac:dyDescent="0.25">
      <c r="D270">
        <v>262</v>
      </c>
      <c r="E270">
        <v>1</v>
      </c>
      <c r="F270" t="str">
        <f>IF($D270&gt;NumRow, "",IFERROR(IF(SelectFedGrant="*",$D270, _xlfn.AGGREGATE(15,6,(1/(FedGrant_Data[Grant Name] = SelectFedGrant))*ROW(FedGrant_Data[Grant Name]), $D270)-TopRow), ""))</f>
        <v/>
      </c>
    </row>
    <row r="271" spans="4:15" x14ac:dyDescent="0.25">
      <c r="D271">
        <v>263</v>
      </c>
      <c r="E271">
        <v>1</v>
      </c>
      <c r="F271" t="str">
        <f>IF($D271&gt;NumRow, "",IFERROR(IF(SelectFedGrant="*",$D271, _xlfn.AGGREGATE(15,6,(1/(FedGrant_Data[Grant Name] = SelectFedGrant))*ROW(FedGrant_Data[Grant Name]), $D271)-TopRow), ""))</f>
        <v/>
      </c>
    </row>
    <row r="272" spans="4:15" x14ac:dyDescent="0.25">
      <c r="D272">
        <v>264</v>
      </c>
      <c r="E272">
        <v>1</v>
      </c>
      <c r="F272" t="str">
        <f>IF($D272&gt;NumRow, "",IFERROR(IF(SelectFedGrant="*",$D272, _xlfn.AGGREGATE(15,6,(1/(FedGrant_Data[Grant Name] = SelectFedGrant))*ROW(FedGrant_Data[Grant Name]), $D272)-TopRow), ""))</f>
        <v/>
      </c>
    </row>
    <row r="273" spans="4:6" x14ac:dyDescent="0.25">
      <c r="D273">
        <v>265</v>
      </c>
      <c r="E273">
        <v>1</v>
      </c>
      <c r="F273" t="str">
        <f>IF($D273&gt;NumRow, "",IFERROR(IF(SelectFedGrant="*",$D273, _xlfn.AGGREGATE(15,6,(1/(FedGrant_Data[Grant Name] = SelectFedGrant))*ROW(FedGrant_Data[Grant Name]), $D273)-TopRow), ""))</f>
        <v/>
      </c>
    </row>
    <row r="274" spans="4:6" x14ac:dyDescent="0.25">
      <c r="D274">
        <v>266</v>
      </c>
      <c r="E274">
        <v>1</v>
      </c>
      <c r="F274" t="str">
        <f>IF($D274&gt;NumRow, "",IFERROR(IF(SelectFedGrant="*",$D274, _xlfn.AGGREGATE(15,6,(1/(FedGrant_Data[Grant Name] = SelectFedGrant))*ROW(FedGrant_Data[Grant Name]), $D274)-TopRow), ""))</f>
        <v/>
      </c>
    </row>
    <row r="275" spans="4:6" x14ac:dyDescent="0.25">
      <c r="D275">
        <v>267</v>
      </c>
      <c r="E275">
        <v>1</v>
      </c>
      <c r="F275" t="str">
        <f>IF($D275&gt;NumRow, "",IFERROR(IF(SelectFedGrant="*",$D275, _xlfn.AGGREGATE(15,6,(1/(FedGrant_Data[Grant Name] = SelectFedGrant))*ROW(FedGrant_Data[Grant Name]), $D275)-TopRow), ""))</f>
        <v/>
      </c>
    </row>
    <row r="276" spans="4:6" x14ac:dyDescent="0.25">
      <c r="D276">
        <v>268</v>
      </c>
      <c r="E276">
        <v>1</v>
      </c>
      <c r="F276" t="str">
        <f>IF($D276&gt;NumRow, "",IFERROR(IF(SelectFedGrant="*",$D276, _xlfn.AGGREGATE(15,6,(1/(FedGrant_Data[Grant Name] = SelectFedGrant))*ROW(FedGrant_Data[Grant Name]), $D276)-TopRow), ""))</f>
        <v/>
      </c>
    </row>
    <row r="277" spans="4:6" x14ac:dyDescent="0.25">
      <c r="D277">
        <v>269</v>
      </c>
      <c r="E277">
        <v>1</v>
      </c>
      <c r="F277" t="str">
        <f>IF($D277&gt;NumRow, "",IFERROR(IF(SelectFedGrant="*",$D277, _xlfn.AGGREGATE(15,6,(1/(FedGrant_Data[Grant Name] = SelectFedGrant))*ROW(FedGrant_Data[Grant Name]), $D277)-TopRow), ""))</f>
        <v/>
      </c>
    </row>
    <row r="278" spans="4:6" x14ac:dyDescent="0.25">
      <c r="D278">
        <v>270</v>
      </c>
      <c r="E278">
        <v>1</v>
      </c>
      <c r="F278" t="str">
        <f>IF($D278&gt;NumRow, "",IFERROR(IF(SelectFedGrant="*",$D278, _xlfn.AGGREGATE(15,6,(1/(FedGrant_Data[Grant Name] = SelectFedGrant))*ROW(FedGrant_Data[Grant Name]), $D278)-TopRow), ""))</f>
        <v/>
      </c>
    </row>
    <row r="279" spans="4:6" x14ac:dyDescent="0.25">
      <c r="D279">
        <v>271</v>
      </c>
      <c r="E279">
        <v>1</v>
      </c>
      <c r="F279" t="str">
        <f>IF($D279&gt;NumRow, "",IFERROR(IF(SelectFedGrant="*",$D279, _xlfn.AGGREGATE(15,6,(1/(FedGrant_Data[Grant Name] = SelectFedGrant))*ROW(FedGrant_Data[Grant Name]), $D279)-TopRow), ""))</f>
        <v/>
      </c>
    </row>
    <row r="280" spans="4:6" x14ac:dyDescent="0.25">
      <c r="D280">
        <v>272</v>
      </c>
      <c r="E280">
        <v>1</v>
      </c>
      <c r="F280" t="str">
        <f>IF($D280&gt;NumRow, "",IFERROR(IF(SelectFedGrant="*",$D280, _xlfn.AGGREGATE(15,6,(1/(FedGrant_Data[Grant Name] = SelectFedGrant))*ROW(FedGrant_Data[Grant Name]), $D280)-TopRow), ""))</f>
        <v/>
      </c>
    </row>
    <row r="281" spans="4:6" x14ac:dyDescent="0.25">
      <c r="D281">
        <v>273</v>
      </c>
      <c r="E281">
        <v>1</v>
      </c>
      <c r="F281" t="str">
        <f>IF($D281&gt;NumRow, "",IFERROR(IF(SelectFedGrant="*",$D281, _xlfn.AGGREGATE(15,6,(1/(FedGrant_Data[Grant Name] = SelectFedGrant))*ROW(FedGrant_Data[Grant Name]), $D281)-TopRow), ""))</f>
        <v/>
      </c>
    </row>
    <row r="282" spans="4:6" x14ac:dyDescent="0.25">
      <c r="D282">
        <v>274</v>
      </c>
      <c r="E282">
        <v>1</v>
      </c>
      <c r="F282" t="str">
        <f>IF($D282&gt;NumRow, "",IFERROR(IF(SelectFedGrant="*",$D282, _xlfn.AGGREGATE(15,6,(1/(FedGrant_Data[Grant Name] = SelectFedGrant))*ROW(FedGrant_Data[Grant Name]), $D282)-TopRow), ""))</f>
        <v/>
      </c>
    </row>
    <row r="283" spans="4:6" x14ac:dyDescent="0.25">
      <c r="D283">
        <v>275</v>
      </c>
      <c r="E283">
        <v>1</v>
      </c>
      <c r="F283" t="str">
        <f>IF($D283&gt;NumRow, "",IFERROR(IF(SelectFedGrant="*",$D283, _xlfn.AGGREGATE(15,6,(1/(FedGrant_Data[Grant Name] = SelectFedGrant))*ROW(FedGrant_Data[Grant Name]), $D283)-TopRow), ""))</f>
        <v/>
      </c>
    </row>
    <row r="284" spans="4:6" x14ac:dyDescent="0.25">
      <c r="D284">
        <v>276</v>
      </c>
      <c r="E284">
        <v>1</v>
      </c>
      <c r="F284" t="str">
        <f>IF($D284&gt;NumRow, "",IFERROR(IF(SelectFedGrant="*",$D284, _xlfn.AGGREGATE(15,6,(1/(FedGrant_Data[Grant Name] = SelectFedGrant))*ROW(FedGrant_Data[Grant Name]), $D284)-TopRow), ""))</f>
        <v/>
      </c>
    </row>
    <row r="285" spans="4:6" x14ac:dyDescent="0.25">
      <c r="D285">
        <v>277</v>
      </c>
      <c r="E285">
        <v>1</v>
      </c>
      <c r="F285" t="str">
        <f>IF($D285&gt;NumRow, "",IFERROR(IF(SelectFedGrant="*",$D285, _xlfn.AGGREGATE(15,6,(1/(FedGrant_Data[Grant Name] = SelectFedGrant))*ROW(FedGrant_Data[Grant Name]), $D285)-TopRow), ""))</f>
        <v/>
      </c>
    </row>
    <row r="286" spans="4:6" x14ac:dyDescent="0.25">
      <c r="D286">
        <v>278</v>
      </c>
      <c r="E286">
        <v>1</v>
      </c>
      <c r="F286" t="str">
        <f>IF($D286&gt;NumRow, "",IFERROR(IF(SelectFedGrant="*",$D286, _xlfn.AGGREGATE(15,6,(1/(FedGrant_Data[Grant Name] = SelectFedGrant))*ROW(FedGrant_Data[Grant Name]), $D286)-TopRow), ""))</f>
        <v/>
      </c>
    </row>
    <row r="287" spans="4:6" x14ac:dyDescent="0.25">
      <c r="D287">
        <v>279</v>
      </c>
      <c r="E287">
        <v>1</v>
      </c>
      <c r="F287" t="str">
        <f>IF($D287&gt;NumRow, "",IFERROR(IF(SelectFedGrant="*",$D287, _xlfn.AGGREGATE(15,6,(1/(FedGrant_Data[Grant Name] = SelectFedGrant))*ROW(FedGrant_Data[Grant Name]), $D287)-TopRow), ""))</f>
        <v/>
      </c>
    </row>
    <row r="288" spans="4:6" x14ac:dyDescent="0.25">
      <c r="D288">
        <v>280</v>
      </c>
      <c r="E288">
        <v>1</v>
      </c>
      <c r="F288" t="str">
        <f>IF($D288&gt;NumRow, "",IFERROR(IF(SelectFedGrant="*",$D288, _xlfn.AGGREGATE(15,6,(1/(FedGrant_Data[Grant Name] = SelectFedGrant))*ROW(FedGrant_Data[Grant Name]), $D288)-TopRow), ""))</f>
        <v/>
      </c>
    </row>
    <row r="289" spans="4:6" x14ac:dyDescent="0.25">
      <c r="D289">
        <v>281</v>
      </c>
      <c r="E289">
        <v>1</v>
      </c>
      <c r="F289" t="str">
        <f>IF($D289&gt;NumRow, "",IFERROR(IF(SelectFedGrant="*",$D289, _xlfn.AGGREGATE(15,6,(1/(FedGrant_Data[Grant Name] = SelectFedGrant))*ROW(FedGrant_Data[Grant Name]), $D289)-TopRow), ""))</f>
        <v/>
      </c>
    </row>
    <row r="290" spans="4:6" x14ac:dyDescent="0.25">
      <c r="D290">
        <v>282</v>
      </c>
      <c r="E290">
        <v>1</v>
      </c>
      <c r="F290" t="str">
        <f>IF($D290&gt;NumRow, "",IFERROR(IF(SelectFedGrant="*",$D290, _xlfn.AGGREGATE(15,6,(1/(FedGrant_Data[Grant Name] = SelectFedGrant))*ROW(FedGrant_Data[Grant Name]), $D290)-TopRow), ""))</f>
        <v/>
      </c>
    </row>
    <row r="291" spans="4:6" x14ac:dyDescent="0.25">
      <c r="D291">
        <v>283</v>
      </c>
      <c r="E291">
        <v>1</v>
      </c>
      <c r="F291" t="str">
        <f>IF($D291&gt;NumRow, "",IFERROR(IF(SelectFedGrant="*",$D291, _xlfn.AGGREGATE(15,6,(1/(FedGrant_Data[Grant Name] = SelectFedGrant))*ROW(FedGrant_Data[Grant Name]), $D291)-TopRow), ""))</f>
        <v/>
      </c>
    </row>
    <row r="292" spans="4:6" x14ac:dyDescent="0.25">
      <c r="D292">
        <v>284</v>
      </c>
      <c r="E292">
        <v>1</v>
      </c>
      <c r="F292" t="str">
        <f>IF($D292&gt;NumRow, "",IFERROR(IF(SelectFedGrant="*",$D292, _xlfn.AGGREGATE(15,6,(1/(FedGrant_Data[Grant Name] = SelectFedGrant))*ROW(FedGrant_Data[Grant Name]), $D292)-TopRow), ""))</f>
        <v/>
      </c>
    </row>
    <row r="293" spans="4:6" x14ac:dyDescent="0.25">
      <c r="D293">
        <v>285</v>
      </c>
      <c r="E293">
        <v>1</v>
      </c>
      <c r="F293" t="str">
        <f>IF($D293&gt;NumRow, "",IFERROR(IF(SelectFedGrant="*",$D293, _xlfn.AGGREGATE(15,6,(1/(FedGrant_Data[Grant Name] = SelectFedGrant))*ROW(FedGrant_Data[Grant Name]), $D293)-TopRow), ""))</f>
        <v/>
      </c>
    </row>
    <row r="294" spans="4:6" x14ac:dyDescent="0.25">
      <c r="D294">
        <v>286</v>
      </c>
      <c r="E294">
        <v>1</v>
      </c>
      <c r="F294" t="str">
        <f>IF($D294&gt;NumRow, "",IFERROR(IF(SelectFedGrant="*",$D294, _xlfn.AGGREGATE(15,6,(1/(FedGrant_Data[Grant Name] = SelectFedGrant))*ROW(FedGrant_Data[Grant Name]), $D294)-TopRow), ""))</f>
        <v/>
      </c>
    </row>
    <row r="295" spans="4:6" x14ac:dyDescent="0.25">
      <c r="D295">
        <v>287</v>
      </c>
      <c r="E295">
        <v>1</v>
      </c>
      <c r="F295" t="str">
        <f>IF($D295&gt;NumRow, "",IFERROR(IF(SelectFedGrant="*",$D295, _xlfn.AGGREGATE(15,6,(1/(FedGrant_Data[Grant Name] = SelectFedGrant))*ROW(FedGrant_Data[Grant Name]), $D295)-TopRow), ""))</f>
        <v/>
      </c>
    </row>
    <row r="296" spans="4:6" x14ac:dyDescent="0.25">
      <c r="D296">
        <v>288</v>
      </c>
      <c r="E296">
        <v>1</v>
      </c>
      <c r="F296" t="str">
        <f>IF($D296&gt;NumRow, "",IFERROR(IF(SelectFedGrant="*",$D296, _xlfn.AGGREGATE(15,6,(1/(FedGrant_Data[Grant Name] = SelectFedGrant))*ROW(FedGrant_Data[Grant Name]), $D296)-TopRow), ""))</f>
        <v/>
      </c>
    </row>
    <row r="297" spans="4:6" x14ac:dyDescent="0.25">
      <c r="D297">
        <v>289</v>
      </c>
      <c r="E297">
        <v>1</v>
      </c>
      <c r="F297" t="str">
        <f>IF($D297&gt;NumRow, "",IFERROR(IF(SelectFedGrant="*",$D297, _xlfn.AGGREGATE(15,6,(1/(FedGrant_Data[Grant Name] = SelectFedGrant))*ROW(FedGrant_Data[Grant Name]), $D297)-TopRow), ""))</f>
        <v/>
      </c>
    </row>
    <row r="298" spans="4:6" x14ac:dyDescent="0.25">
      <c r="D298">
        <v>290</v>
      </c>
      <c r="E298">
        <v>1</v>
      </c>
      <c r="F298" t="str">
        <f>IF($D298&gt;NumRow, "",IFERROR(IF(SelectFedGrant="*",$D298, _xlfn.AGGREGATE(15,6,(1/(FedGrant_Data[Grant Name] = SelectFedGrant))*ROW(FedGrant_Data[Grant Name]), $D298)-TopRow), ""))</f>
        <v/>
      </c>
    </row>
    <row r="299" spans="4:6" x14ac:dyDescent="0.25">
      <c r="D299">
        <v>291</v>
      </c>
      <c r="E299">
        <v>1</v>
      </c>
      <c r="F299" t="str">
        <f>IF($D299&gt;NumRow, "",IFERROR(IF(SelectFedGrant="*",$D299, _xlfn.AGGREGATE(15,6,(1/(FedGrant_Data[Grant Name] = SelectFedGrant))*ROW(FedGrant_Data[Grant Name]), $D299)-TopRow), ""))</f>
        <v/>
      </c>
    </row>
    <row r="300" spans="4:6" x14ac:dyDescent="0.25">
      <c r="D300">
        <v>292</v>
      </c>
      <c r="E300">
        <v>1</v>
      </c>
      <c r="F300" t="str">
        <f>IF($D300&gt;NumRow, "",IFERROR(IF(SelectFedGrant="*",$D300, _xlfn.AGGREGATE(15,6,(1/(FedGrant_Data[Grant Name] = SelectFedGrant))*ROW(FedGrant_Data[Grant Name]), $D300)-TopRow), ""))</f>
        <v/>
      </c>
    </row>
    <row r="301" spans="4:6" x14ac:dyDescent="0.25">
      <c r="D301">
        <v>293</v>
      </c>
      <c r="E301">
        <v>1</v>
      </c>
      <c r="F301" t="str">
        <f>IF($D301&gt;NumRow, "",IFERROR(IF(SelectFedGrant="*",$D301, _xlfn.AGGREGATE(15,6,(1/(FedGrant_Data[Grant Name] = SelectFedGrant))*ROW(FedGrant_Data[Grant Name]), $D301)-TopRow), ""))</f>
        <v/>
      </c>
    </row>
    <row r="302" spans="4:6" x14ac:dyDescent="0.25">
      <c r="D302">
        <v>294</v>
      </c>
      <c r="E302">
        <v>1</v>
      </c>
      <c r="F302" t="str">
        <f>IF($D302&gt;NumRow, "",IFERROR(IF(SelectFedGrant="*",$D302, _xlfn.AGGREGATE(15,6,(1/(FedGrant_Data[Grant Name] = SelectFedGrant))*ROW(FedGrant_Data[Grant Name]), $D302)-TopRow), ""))</f>
        <v/>
      </c>
    </row>
    <row r="303" spans="4:6" x14ac:dyDescent="0.25">
      <c r="D303">
        <v>295</v>
      </c>
      <c r="E303">
        <v>1</v>
      </c>
      <c r="F303" t="str">
        <f>IF($D303&gt;NumRow, "",IFERROR(IF(SelectFedGrant="*",$D303, _xlfn.AGGREGATE(15,6,(1/(FedGrant_Data[Grant Name] = SelectFedGrant))*ROW(FedGrant_Data[Grant Name]), $D303)-TopRow), ""))</f>
        <v/>
      </c>
    </row>
    <row r="304" spans="4:6" x14ac:dyDescent="0.25">
      <c r="D304">
        <v>296</v>
      </c>
      <c r="E304">
        <v>1</v>
      </c>
      <c r="F304" t="str">
        <f>IF($D304&gt;NumRow, "",IFERROR(IF(SelectFedGrant="*",$D304, _xlfn.AGGREGATE(15,6,(1/(FedGrant_Data[Grant Name] = SelectFedGrant))*ROW(FedGrant_Data[Grant Name]), $D304)-TopRow), ""))</f>
        <v/>
      </c>
    </row>
    <row r="305" spans="4:6" x14ac:dyDescent="0.25">
      <c r="D305">
        <v>297</v>
      </c>
      <c r="E305">
        <v>1</v>
      </c>
      <c r="F305" t="str">
        <f>IF($D305&gt;NumRow, "",IFERROR(IF(SelectFedGrant="*",$D305, _xlfn.AGGREGATE(15,6,(1/(FedGrant_Data[Grant Name] = SelectFedGrant))*ROW(FedGrant_Data[Grant Name]), $D305)-TopRow), ""))</f>
        <v/>
      </c>
    </row>
    <row r="306" spans="4:6" x14ac:dyDescent="0.25">
      <c r="D306">
        <v>298</v>
      </c>
      <c r="E306">
        <v>1</v>
      </c>
      <c r="F306" t="str">
        <f>IF($D306&gt;NumRow, "",IFERROR(IF(SelectFedGrant="*",$D306, _xlfn.AGGREGATE(15,6,(1/(FedGrant_Data[Grant Name] = SelectFedGrant))*ROW(FedGrant_Data[Grant Name]), $D306)-TopRow), ""))</f>
        <v/>
      </c>
    </row>
    <row r="307" spans="4:6" x14ac:dyDescent="0.25">
      <c r="D307">
        <v>299</v>
      </c>
      <c r="E307">
        <v>1</v>
      </c>
      <c r="F307" t="str">
        <f>IF($D307&gt;NumRow, "",IFERROR(IF(SelectFedGrant="*",$D307, _xlfn.AGGREGATE(15,6,(1/(FedGrant_Data[Grant Name] = SelectFedGrant))*ROW(FedGrant_Data[Grant Name]), $D307)-TopRow), ""))</f>
        <v/>
      </c>
    </row>
    <row r="308" spans="4:6" x14ac:dyDescent="0.25">
      <c r="D308">
        <v>300</v>
      </c>
      <c r="E308">
        <v>1</v>
      </c>
      <c r="F308" t="str">
        <f>IF($D308&gt;NumRow, "",IFERROR(IF(SelectFedGrant="*",$D308, _xlfn.AGGREGATE(15,6,(1/(FedGrant_Data[Grant Name] = SelectFedGrant))*ROW(FedGrant_Data[Grant Name]), $D308)-TopRow), ""))</f>
        <v/>
      </c>
    </row>
    <row r="309" spans="4:6" x14ac:dyDescent="0.25">
      <c r="D309">
        <v>301</v>
      </c>
      <c r="E309">
        <v>1</v>
      </c>
      <c r="F309" t="str">
        <f>IF($D309&gt;NumRow, "",IFERROR(IF(SelectFedGrant="*",$D309, _xlfn.AGGREGATE(15,6,(1/(FedGrant_Data[Grant Name] = SelectFedGrant))*ROW(FedGrant_Data[Grant Name]), $D309)-TopRow), ""))</f>
        <v/>
      </c>
    </row>
    <row r="310" spans="4:6" x14ac:dyDescent="0.25">
      <c r="D310">
        <v>302</v>
      </c>
      <c r="E310">
        <v>1</v>
      </c>
      <c r="F310" t="str">
        <f>IF($D310&gt;NumRow, "",IFERROR(IF(SelectFedGrant="*",$D310, _xlfn.AGGREGATE(15,6,(1/(FedGrant_Data[Grant Name] = SelectFedGrant))*ROW(FedGrant_Data[Grant Name]), $D310)-TopRow), ""))</f>
        <v/>
      </c>
    </row>
    <row r="311" spans="4:6" x14ac:dyDescent="0.25">
      <c r="D311">
        <v>303</v>
      </c>
      <c r="E311">
        <v>1</v>
      </c>
      <c r="F311" t="str">
        <f>IF($D311&gt;NumRow, "",IFERROR(IF(SelectFedGrant="*",$D311, _xlfn.AGGREGATE(15,6,(1/(FedGrant_Data[Grant Name] = SelectFedGrant))*ROW(FedGrant_Data[Grant Name]), $D311)-TopRow), ""))</f>
        <v/>
      </c>
    </row>
    <row r="312" spans="4:6" x14ac:dyDescent="0.25">
      <c r="D312">
        <v>304</v>
      </c>
      <c r="E312">
        <v>1</v>
      </c>
      <c r="F312" t="str">
        <f>IF($D312&gt;NumRow, "",IFERROR(IF(SelectFedGrant="*",$D312, _xlfn.AGGREGATE(15,6,(1/(FedGrant_Data[Grant Name] = SelectFedGrant))*ROW(FedGrant_Data[Grant Name]), $D312)-TopRow), ""))</f>
        <v/>
      </c>
    </row>
    <row r="313" spans="4:6" x14ac:dyDescent="0.25">
      <c r="D313">
        <v>305</v>
      </c>
      <c r="E313">
        <v>1</v>
      </c>
      <c r="F313" t="str">
        <f>IF($D313&gt;NumRow, "",IFERROR(IF(SelectFedGrant="*",$D313, _xlfn.AGGREGATE(15,6,(1/(FedGrant_Data[Grant Name] = SelectFedGrant))*ROW(FedGrant_Data[Grant Name]), $D313)-TopRow), ""))</f>
        <v/>
      </c>
    </row>
    <row r="314" spans="4:6" x14ac:dyDescent="0.25">
      <c r="D314">
        <v>306</v>
      </c>
      <c r="E314">
        <v>1</v>
      </c>
      <c r="F314" t="str">
        <f>IF($D314&gt;NumRow, "",IFERROR(IF(SelectFedGrant="*",$D314, _xlfn.AGGREGATE(15,6,(1/(FedGrant_Data[Grant Name] = SelectFedGrant))*ROW(FedGrant_Data[Grant Name]), $D314)-TopRow), ""))</f>
        <v/>
      </c>
    </row>
    <row r="315" spans="4:6" x14ac:dyDescent="0.25">
      <c r="D315">
        <v>307</v>
      </c>
      <c r="E315">
        <v>1</v>
      </c>
      <c r="F315" t="str">
        <f>IF($D315&gt;NumRow, "",IFERROR(IF(SelectFedGrant="*",$D315, _xlfn.AGGREGATE(15,6,(1/(FedGrant_Data[Grant Name] = SelectFedGrant))*ROW(FedGrant_Data[Grant Name]), $D315)-TopRow), ""))</f>
        <v/>
      </c>
    </row>
    <row r="316" spans="4:6" x14ac:dyDescent="0.25">
      <c r="D316">
        <v>308</v>
      </c>
      <c r="E316">
        <v>1</v>
      </c>
      <c r="F316" t="str">
        <f>IF($D316&gt;NumRow, "",IFERROR(IF(SelectFedGrant="*",$D316, _xlfn.AGGREGATE(15,6,(1/(FedGrant_Data[Grant Name] = SelectFedGrant))*ROW(FedGrant_Data[Grant Name]), $D316)-TopRow), ""))</f>
        <v/>
      </c>
    </row>
    <row r="317" spans="4:6" x14ac:dyDescent="0.25">
      <c r="D317">
        <v>309</v>
      </c>
      <c r="E317">
        <v>1</v>
      </c>
      <c r="F317" t="str">
        <f>IF($D317&gt;NumRow, "",IFERROR(IF(SelectFedGrant="*",$D317, _xlfn.AGGREGATE(15,6,(1/(FedGrant_Data[Grant Name] = SelectFedGrant))*ROW(FedGrant_Data[Grant Name]), $D317)-TopRow), ""))</f>
        <v/>
      </c>
    </row>
    <row r="318" spans="4:6" x14ac:dyDescent="0.25">
      <c r="D318">
        <v>310</v>
      </c>
      <c r="E318">
        <v>1</v>
      </c>
      <c r="F318" t="str">
        <f>IF($D318&gt;NumRow, "",IFERROR(IF(SelectFedGrant="*",$D318, _xlfn.AGGREGATE(15,6,(1/(FedGrant_Data[Grant Name] = SelectFedGrant))*ROW(FedGrant_Data[Grant Name]), $D318)-TopRow), ""))</f>
        <v/>
      </c>
    </row>
    <row r="319" spans="4:6" x14ac:dyDescent="0.25">
      <c r="D319">
        <v>311</v>
      </c>
      <c r="E319">
        <v>1</v>
      </c>
      <c r="F319" t="str">
        <f>IF($D319&gt;NumRow, "",IFERROR(IF(SelectFedGrant="*",$D319, _xlfn.AGGREGATE(15,6,(1/(FedGrant_Data[Grant Name] = SelectFedGrant))*ROW(FedGrant_Data[Grant Name]), $D319)-TopRow), ""))</f>
        <v/>
      </c>
    </row>
    <row r="320" spans="4:6" x14ac:dyDescent="0.25">
      <c r="D320">
        <v>312</v>
      </c>
      <c r="E320">
        <v>1</v>
      </c>
      <c r="F320" t="str">
        <f>IF($D320&gt;NumRow, "",IFERROR(IF(SelectFedGrant="*",$D320, _xlfn.AGGREGATE(15,6,(1/(FedGrant_Data[Grant Name] = SelectFedGrant))*ROW(FedGrant_Data[Grant Name]), $D320)-TopRow), ""))</f>
        <v/>
      </c>
    </row>
    <row r="321" spans="4:6" x14ac:dyDescent="0.25">
      <c r="D321">
        <v>313</v>
      </c>
      <c r="E321">
        <v>1</v>
      </c>
      <c r="F321" t="str">
        <f>IF($D321&gt;NumRow, "",IFERROR(IF(SelectFedGrant="*",$D321, _xlfn.AGGREGATE(15,6,(1/(FedGrant_Data[Grant Name] = SelectFedGrant))*ROW(FedGrant_Data[Grant Name]), $D321)-TopRow), ""))</f>
        <v/>
      </c>
    </row>
    <row r="322" spans="4:6" x14ac:dyDescent="0.25">
      <c r="D322">
        <v>314</v>
      </c>
      <c r="E322">
        <v>1</v>
      </c>
      <c r="F322" t="str">
        <f>IF($D322&gt;NumRow, "",IFERROR(IF(SelectFedGrant="*",$D322, _xlfn.AGGREGATE(15,6,(1/(FedGrant_Data[Grant Name] = SelectFedGrant))*ROW(FedGrant_Data[Grant Name]), $D322)-TopRow), ""))</f>
        <v/>
      </c>
    </row>
    <row r="323" spans="4:6" x14ac:dyDescent="0.25">
      <c r="D323">
        <v>315</v>
      </c>
      <c r="E323">
        <v>1</v>
      </c>
      <c r="F323" t="str">
        <f>IF($D323&gt;NumRow, "",IFERROR(IF(SelectFedGrant="*",$D323, _xlfn.AGGREGATE(15,6,(1/(FedGrant_Data[Grant Name] = SelectFedGrant))*ROW(FedGrant_Data[Grant Name]), $D323)-TopRow), ""))</f>
        <v/>
      </c>
    </row>
    <row r="324" spans="4:6" x14ac:dyDescent="0.25">
      <c r="D324">
        <v>316</v>
      </c>
      <c r="E324">
        <v>1</v>
      </c>
      <c r="F324" t="str">
        <f>IF($D324&gt;NumRow, "",IFERROR(IF(SelectFedGrant="*",$D324, _xlfn.AGGREGATE(15,6,(1/(FedGrant_Data[Grant Name] = SelectFedGrant))*ROW(FedGrant_Data[Grant Name]), $D324)-TopRow), ""))</f>
        <v/>
      </c>
    </row>
    <row r="325" spans="4:6" x14ac:dyDescent="0.25">
      <c r="D325">
        <v>317</v>
      </c>
      <c r="E325">
        <v>1</v>
      </c>
      <c r="F325" t="str">
        <f>IF($D325&gt;NumRow, "",IFERROR(IF(SelectFedGrant="*",$D325, _xlfn.AGGREGATE(15,6,(1/(FedGrant_Data[Grant Name] = SelectFedGrant))*ROW(FedGrant_Data[Grant Name]), $D325)-TopRow), ""))</f>
        <v/>
      </c>
    </row>
    <row r="326" spans="4:6" x14ac:dyDescent="0.25">
      <c r="D326">
        <v>318</v>
      </c>
      <c r="E326">
        <v>1</v>
      </c>
      <c r="F326" t="str">
        <f>IF($D326&gt;NumRow, "",IFERROR(IF(SelectFedGrant="*",$D326, _xlfn.AGGREGATE(15,6,(1/(FedGrant_Data[Grant Name] = SelectFedGrant))*ROW(FedGrant_Data[Grant Name]), $D326)-TopRow), ""))</f>
        <v/>
      </c>
    </row>
    <row r="327" spans="4:6" x14ac:dyDescent="0.25">
      <c r="D327">
        <v>319</v>
      </c>
      <c r="E327">
        <v>1</v>
      </c>
      <c r="F327" t="str">
        <f>IF($D327&gt;NumRow, "",IFERROR(IF(SelectFedGrant="*",$D327, _xlfn.AGGREGATE(15,6,(1/(FedGrant_Data[Grant Name] = SelectFedGrant))*ROW(FedGrant_Data[Grant Name]), $D327)-TopRow), ""))</f>
        <v/>
      </c>
    </row>
    <row r="328" spans="4:6" x14ac:dyDescent="0.25">
      <c r="D328">
        <v>320</v>
      </c>
      <c r="E328">
        <v>1</v>
      </c>
      <c r="F328" t="str">
        <f>IF($D328&gt;NumRow, "",IFERROR(IF(SelectFedGrant="*",$D328, _xlfn.AGGREGATE(15,6,(1/(FedGrant_Data[Grant Name] = SelectFedGrant))*ROW(FedGrant_Data[Grant Name]), $D328)-TopRow), ""))</f>
        <v/>
      </c>
    </row>
    <row r="329" spans="4:6" x14ac:dyDescent="0.25">
      <c r="D329">
        <v>321</v>
      </c>
      <c r="E329">
        <v>1</v>
      </c>
      <c r="F329" t="str">
        <f>IF($D329&gt;NumRow, "",IFERROR(IF(SelectFedGrant="*",$D329, _xlfn.AGGREGATE(15,6,(1/(FedGrant_Data[Grant Name] = SelectFedGrant))*ROW(FedGrant_Data[Grant Name]), $D329)-TopRow), ""))</f>
        <v/>
      </c>
    </row>
    <row r="330" spans="4:6" x14ac:dyDescent="0.25">
      <c r="D330">
        <v>322</v>
      </c>
      <c r="E330">
        <v>1</v>
      </c>
      <c r="F330" t="str">
        <f>IF($D330&gt;NumRow, "",IFERROR(IF(SelectFedGrant="*",$D330, _xlfn.AGGREGATE(15,6,(1/(FedGrant_Data[Grant Name] = SelectFedGrant))*ROW(FedGrant_Data[Grant Name]), $D330)-TopRow), ""))</f>
        <v/>
      </c>
    </row>
    <row r="331" spans="4:6" x14ac:dyDescent="0.25">
      <c r="D331">
        <v>323</v>
      </c>
      <c r="E331">
        <v>1</v>
      </c>
      <c r="F331" t="str">
        <f>IF($D331&gt;NumRow, "",IFERROR(IF(SelectFedGrant="*",$D331, _xlfn.AGGREGATE(15,6,(1/(FedGrant_Data[Grant Name] = SelectFedGrant))*ROW(FedGrant_Data[Grant Name]), $D331)-TopRow), ""))</f>
        <v/>
      </c>
    </row>
    <row r="332" spans="4:6" x14ac:dyDescent="0.25">
      <c r="D332">
        <v>324</v>
      </c>
      <c r="E332">
        <v>1</v>
      </c>
      <c r="F332" t="str">
        <f>IF($D332&gt;NumRow, "",IFERROR(IF(SelectFedGrant="*",$D332, _xlfn.AGGREGATE(15,6,(1/(FedGrant_Data[Grant Name] = SelectFedGrant))*ROW(FedGrant_Data[Grant Name]), $D332)-TopRow), ""))</f>
        <v/>
      </c>
    </row>
    <row r="333" spans="4:6" x14ac:dyDescent="0.25">
      <c r="D333">
        <v>325</v>
      </c>
      <c r="E333">
        <v>1</v>
      </c>
      <c r="F333" t="str">
        <f>IF($D333&gt;NumRow, "",IFERROR(IF(SelectFedGrant="*",$D333, _xlfn.AGGREGATE(15,6,(1/(FedGrant_Data[Grant Name] = SelectFedGrant))*ROW(FedGrant_Data[Grant Name]), $D333)-TopRow), ""))</f>
        <v/>
      </c>
    </row>
    <row r="334" spans="4:6" x14ac:dyDescent="0.25">
      <c r="D334">
        <v>326</v>
      </c>
      <c r="E334">
        <v>1</v>
      </c>
      <c r="F334" t="str">
        <f>IF($D334&gt;NumRow, "",IFERROR(IF(SelectFedGrant="*",$D334, _xlfn.AGGREGATE(15,6,(1/(FedGrant_Data[Grant Name] = SelectFedGrant))*ROW(FedGrant_Data[Grant Name]), $D334)-TopRow), ""))</f>
        <v/>
      </c>
    </row>
    <row r="335" spans="4:6" x14ac:dyDescent="0.25">
      <c r="D335">
        <v>327</v>
      </c>
      <c r="E335">
        <v>1</v>
      </c>
      <c r="F335" t="str">
        <f>IF($D335&gt;NumRow, "",IFERROR(IF(SelectFedGrant="*",$D335, _xlfn.AGGREGATE(15,6,(1/(FedGrant_Data[Grant Name] = SelectFedGrant))*ROW(FedGrant_Data[Grant Name]), $D335)-TopRow), ""))</f>
        <v/>
      </c>
    </row>
    <row r="336" spans="4:6" x14ac:dyDescent="0.25">
      <c r="D336">
        <v>328</v>
      </c>
      <c r="E336">
        <v>1</v>
      </c>
      <c r="F336" t="str">
        <f>IF($D336&gt;NumRow, "",IFERROR(IF(SelectFedGrant="*",$D336, _xlfn.AGGREGATE(15,6,(1/(FedGrant_Data[Grant Name] = SelectFedGrant))*ROW(FedGrant_Data[Grant Name]), $D336)-TopRow), ""))</f>
        <v/>
      </c>
    </row>
    <row r="337" spans="4:6" x14ac:dyDescent="0.25">
      <c r="D337">
        <v>329</v>
      </c>
      <c r="E337">
        <v>1</v>
      </c>
      <c r="F337" t="str">
        <f>IF($D337&gt;NumRow, "",IFERROR(IF(SelectFedGrant="*",$D337, _xlfn.AGGREGATE(15,6,(1/(FedGrant_Data[Grant Name] = SelectFedGrant))*ROW(FedGrant_Data[Grant Name]), $D337)-TopRow), ""))</f>
        <v/>
      </c>
    </row>
    <row r="338" spans="4:6" x14ac:dyDescent="0.25">
      <c r="D338">
        <v>330</v>
      </c>
      <c r="E338">
        <v>1</v>
      </c>
      <c r="F338" t="str">
        <f>IF($D338&gt;NumRow, "",IFERROR(IF(SelectFedGrant="*",$D338, _xlfn.AGGREGATE(15,6,(1/(FedGrant_Data[Grant Name] = SelectFedGrant))*ROW(FedGrant_Data[Grant Name]), $D338)-TopRow), ""))</f>
        <v/>
      </c>
    </row>
    <row r="339" spans="4:6" x14ac:dyDescent="0.25">
      <c r="D339">
        <v>331</v>
      </c>
      <c r="E339">
        <v>1</v>
      </c>
      <c r="F339" t="str">
        <f>IF($D339&gt;NumRow, "",IFERROR(IF(SelectFedGrant="*",$D339, _xlfn.AGGREGATE(15,6,(1/(FedGrant_Data[Grant Name] = SelectFedGrant))*ROW(FedGrant_Data[Grant Name]), $D339)-TopRow), ""))</f>
        <v/>
      </c>
    </row>
    <row r="340" spans="4:6" x14ac:dyDescent="0.25">
      <c r="D340">
        <v>332</v>
      </c>
      <c r="E340">
        <v>1</v>
      </c>
      <c r="F340" t="str">
        <f>IF($D340&gt;NumRow, "",IFERROR(IF(SelectFedGrant="*",$D340, _xlfn.AGGREGATE(15,6,(1/(FedGrant_Data[Grant Name] = SelectFedGrant))*ROW(FedGrant_Data[Grant Name]), $D340)-TopRow), ""))</f>
        <v/>
      </c>
    </row>
    <row r="341" spans="4:6" x14ac:dyDescent="0.25">
      <c r="D341">
        <v>333</v>
      </c>
      <c r="E341">
        <v>1</v>
      </c>
      <c r="F341" t="str">
        <f>IF($D341&gt;NumRow, "",IFERROR(IF(SelectFedGrant="*",$D341, _xlfn.AGGREGATE(15,6,(1/(FedGrant_Data[Grant Name] = SelectFedGrant))*ROW(FedGrant_Data[Grant Name]), $D341)-TopRow), ""))</f>
        <v/>
      </c>
    </row>
    <row r="342" spans="4:6" x14ac:dyDescent="0.25">
      <c r="D342">
        <v>334</v>
      </c>
      <c r="E342">
        <v>1</v>
      </c>
      <c r="F342" t="str">
        <f>IF($D342&gt;NumRow, "",IFERROR(IF(SelectFedGrant="*",$D342, _xlfn.AGGREGATE(15,6,(1/(FedGrant_Data[Grant Name] = SelectFedGrant))*ROW(FedGrant_Data[Grant Name]), $D342)-TopRow), ""))</f>
        <v/>
      </c>
    </row>
    <row r="343" spans="4:6" x14ac:dyDescent="0.25">
      <c r="D343">
        <v>335</v>
      </c>
      <c r="E343">
        <v>1</v>
      </c>
      <c r="F343" t="str">
        <f>IF($D343&gt;NumRow, "",IFERROR(IF(SelectFedGrant="*",$D343, _xlfn.AGGREGATE(15,6,(1/(FedGrant_Data[Grant Name] = SelectFedGrant))*ROW(FedGrant_Data[Grant Name]), $D343)-TopRow), ""))</f>
        <v/>
      </c>
    </row>
    <row r="344" spans="4:6" x14ac:dyDescent="0.25">
      <c r="D344">
        <v>336</v>
      </c>
      <c r="E344">
        <v>1</v>
      </c>
      <c r="F344" t="str">
        <f>IF($D344&gt;NumRow, "",IFERROR(IF(SelectFedGrant="*",$D344, _xlfn.AGGREGATE(15,6,(1/(FedGrant_Data[Grant Name] = SelectFedGrant))*ROW(FedGrant_Data[Grant Name]), $D344)-TopRow), ""))</f>
        <v/>
      </c>
    </row>
    <row r="345" spans="4:6" x14ac:dyDescent="0.25">
      <c r="D345">
        <v>337</v>
      </c>
      <c r="E345">
        <v>1</v>
      </c>
      <c r="F345" t="str">
        <f>IF($D345&gt;NumRow, "",IFERROR(IF(SelectFedGrant="*",$D345, _xlfn.AGGREGATE(15,6,(1/(FedGrant_Data[Grant Name] = SelectFedGrant))*ROW(FedGrant_Data[Grant Name]), $D345)-TopRow), ""))</f>
        <v/>
      </c>
    </row>
    <row r="346" spans="4:6" x14ac:dyDescent="0.25">
      <c r="D346">
        <v>338</v>
      </c>
      <c r="E346">
        <v>1</v>
      </c>
      <c r="F346" t="str">
        <f>IF($D346&gt;NumRow, "",IFERROR(IF(SelectFedGrant="*",$D346, _xlfn.AGGREGATE(15,6,(1/(FedGrant_Data[Grant Name] = SelectFedGrant))*ROW(FedGrant_Data[Grant Name]), $D346)-TopRow), ""))</f>
        <v/>
      </c>
    </row>
    <row r="347" spans="4:6" x14ac:dyDescent="0.25">
      <c r="D347">
        <v>339</v>
      </c>
      <c r="E347">
        <v>1</v>
      </c>
      <c r="F347" t="str">
        <f>IF($D347&gt;NumRow, "",IFERROR(IF(SelectFedGrant="*",$D347, _xlfn.AGGREGATE(15,6,(1/(FedGrant_Data[Grant Name] = SelectFedGrant))*ROW(FedGrant_Data[Grant Name]), $D347)-TopRow), ""))</f>
        <v/>
      </c>
    </row>
    <row r="348" spans="4:6" x14ac:dyDescent="0.25">
      <c r="D348">
        <v>340</v>
      </c>
      <c r="E348">
        <v>1</v>
      </c>
      <c r="F348" t="str">
        <f>IF($D348&gt;NumRow, "",IFERROR(IF(SelectFedGrant="*",$D348, _xlfn.AGGREGATE(15,6,(1/(FedGrant_Data[Grant Name] = SelectFedGrant))*ROW(FedGrant_Data[Grant Name]), $D348)-TopRow), ""))</f>
        <v/>
      </c>
    </row>
    <row r="349" spans="4:6" x14ac:dyDescent="0.25">
      <c r="D349">
        <v>341</v>
      </c>
      <c r="E349">
        <v>1</v>
      </c>
      <c r="F349" t="str">
        <f>IF($D349&gt;NumRow, "",IFERROR(IF(SelectFedGrant="*",$D349, _xlfn.AGGREGATE(15,6,(1/(FedGrant_Data[Grant Name] = SelectFedGrant))*ROW(FedGrant_Data[Grant Name]), $D349)-TopRow), ""))</f>
        <v/>
      </c>
    </row>
    <row r="350" spans="4:6" x14ac:dyDescent="0.25">
      <c r="D350">
        <v>342</v>
      </c>
      <c r="E350">
        <v>1</v>
      </c>
      <c r="F350" t="str">
        <f>IF($D350&gt;NumRow, "",IFERROR(IF(SelectFedGrant="*",$D350, _xlfn.AGGREGATE(15,6,(1/(FedGrant_Data[Grant Name] = SelectFedGrant))*ROW(FedGrant_Data[Grant Name]), $D350)-TopRow), ""))</f>
        <v/>
      </c>
    </row>
    <row r="351" spans="4:6" x14ac:dyDescent="0.25">
      <c r="D351">
        <v>343</v>
      </c>
      <c r="E351">
        <v>1</v>
      </c>
      <c r="F351" t="str">
        <f>IF($D351&gt;NumRow, "",IFERROR(IF(SelectFedGrant="*",$D351, _xlfn.AGGREGATE(15,6,(1/(FedGrant_Data[Grant Name] = SelectFedGrant))*ROW(FedGrant_Data[Grant Name]), $D351)-TopRow), ""))</f>
        <v/>
      </c>
    </row>
    <row r="352" spans="4:6" x14ac:dyDescent="0.25">
      <c r="D352">
        <v>344</v>
      </c>
      <c r="E352">
        <v>1</v>
      </c>
      <c r="F352" t="str">
        <f>IF($D352&gt;NumRow, "",IFERROR(IF(SelectFedGrant="*",$D352, _xlfn.AGGREGATE(15,6,(1/(FedGrant_Data[Grant Name] = SelectFedGrant))*ROW(FedGrant_Data[Grant Name]), $D352)-TopRow), ""))</f>
        <v/>
      </c>
    </row>
    <row r="353" spans="4:6" x14ac:dyDescent="0.25">
      <c r="D353">
        <v>345</v>
      </c>
      <c r="E353">
        <v>1</v>
      </c>
      <c r="F353" t="str">
        <f>IF($D353&gt;NumRow, "",IFERROR(IF(SelectFedGrant="*",$D353, _xlfn.AGGREGATE(15,6,(1/(FedGrant_Data[Grant Name] = SelectFedGrant))*ROW(FedGrant_Data[Grant Name]), $D353)-TopRow), ""))</f>
        <v/>
      </c>
    </row>
    <row r="354" spans="4:6" x14ac:dyDescent="0.25">
      <c r="D354">
        <v>346</v>
      </c>
      <c r="E354">
        <v>1</v>
      </c>
      <c r="F354" t="str">
        <f>IF($D354&gt;NumRow, "",IFERROR(IF(SelectFedGrant="*",$D354, _xlfn.AGGREGATE(15,6,(1/(FedGrant_Data[Grant Name] = SelectFedGrant))*ROW(FedGrant_Data[Grant Name]), $D354)-TopRow), ""))</f>
        <v/>
      </c>
    </row>
    <row r="355" spans="4:6" x14ac:dyDescent="0.25">
      <c r="D355">
        <v>347</v>
      </c>
      <c r="E355">
        <v>1</v>
      </c>
      <c r="F355" t="str">
        <f>IF($D355&gt;NumRow, "",IFERROR(IF(SelectFedGrant="*",$D355, _xlfn.AGGREGATE(15,6,(1/(FedGrant_Data[Grant Name] = SelectFedGrant))*ROW(FedGrant_Data[Grant Name]), $D355)-TopRow), ""))</f>
        <v/>
      </c>
    </row>
    <row r="356" spans="4:6" x14ac:dyDescent="0.25">
      <c r="D356">
        <v>348</v>
      </c>
      <c r="E356">
        <v>1</v>
      </c>
      <c r="F356" t="str">
        <f>IF($D356&gt;NumRow, "",IFERROR(IF(SelectFedGrant="*",$D356, _xlfn.AGGREGATE(15,6,(1/(FedGrant_Data[Grant Name] = SelectFedGrant))*ROW(FedGrant_Data[Grant Name]), $D356)-TopRow), ""))</f>
        <v/>
      </c>
    </row>
    <row r="357" spans="4:6" x14ac:dyDescent="0.25">
      <c r="D357">
        <v>349</v>
      </c>
      <c r="E357">
        <v>1</v>
      </c>
      <c r="F357" t="str">
        <f>IF($D357&gt;NumRow, "",IFERROR(IF(SelectFedGrant="*",$D357, _xlfn.AGGREGATE(15,6,(1/(FedGrant_Data[Grant Name] = SelectFedGrant))*ROW(FedGrant_Data[Grant Name]), $D357)-TopRow), ""))</f>
        <v/>
      </c>
    </row>
    <row r="358" spans="4:6" x14ac:dyDescent="0.25">
      <c r="D358">
        <v>350</v>
      </c>
      <c r="E358">
        <v>1</v>
      </c>
      <c r="F358" t="str">
        <f>IF($D358&gt;NumRow, "",IFERROR(IF(SelectFedGrant="*",$D358, _xlfn.AGGREGATE(15,6,(1/(FedGrant_Data[Grant Name] = SelectFedGrant))*ROW(FedGrant_Data[Grant Name]), $D358)-TopRow), ""))</f>
        <v/>
      </c>
    </row>
    <row r="359" spans="4:6" x14ac:dyDescent="0.25">
      <c r="D359">
        <v>351</v>
      </c>
      <c r="E359">
        <v>1</v>
      </c>
      <c r="F359" t="str">
        <f>IF($D359&gt;NumRow, "",IFERROR(IF(SelectFedGrant="*",$D359, _xlfn.AGGREGATE(15,6,(1/(FedGrant_Data[Grant Name] = SelectFedGrant))*ROW(FedGrant_Data[Grant Name]), $D359)-TopRow), ""))</f>
        <v/>
      </c>
    </row>
    <row r="360" spans="4:6" x14ac:dyDescent="0.25">
      <c r="D360">
        <v>352</v>
      </c>
      <c r="E360">
        <v>1</v>
      </c>
      <c r="F360" t="str">
        <f>IF($D360&gt;NumRow, "",IFERROR(IF(SelectFedGrant="*",$D360, _xlfn.AGGREGATE(15,6,(1/(FedGrant_Data[Grant Name] = SelectFedGrant))*ROW(FedGrant_Data[Grant Name]), $D360)-TopRow), ""))</f>
        <v/>
      </c>
    </row>
    <row r="361" spans="4:6" x14ac:dyDescent="0.25">
      <c r="D361">
        <v>353</v>
      </c>
      <c r="E361">
        <v>1</v>
      </c>
      <c r="F361" t="str">
        <f>IF($D361&gt;NumRow, "",IFERROR(IF(SelectFedGrant="*",$D361, _xlfn.AGGREGATE(15,6,(1/(FedGrant_Data[Grant Name] = SelectFedGrant))*ROW(FedGrant_Data[Grant Name]), $D361)-TopRow), ""))</f>
        <v/>
      </c>
    </row>
    <row r="362" spans="4:6" x14ac:dyDescent="0.25">
      <c r="D362">
        <v>354</v>
      </c>
      <c r="E362">
        <v>1</v>
      </c>
      <c r="F362" t="str">
        <f>IF($D362&gt;NumRow, "",IFERROR(IF(SelectFedGrant="*",$D362, _xlfn.AGGREGATE(15,6,(1/(FedGrant_Data[Grant Name] = SelectFedGrant))*ROW(FedGrant_Data[Grant Name]), $D362)-TopRow), ""))</f>
        <v/>
      </c>
    </row>
    <row r="363" spans="4:6" x14ac:dyDescent="0.25">
      <c r="D363">
        <v>355</v>
      </c>
      <c r="E363">
        <v>1</v>
      </c>
      <c r="F363" t="str">
        <f>IF($D363&gt;NumRow, "",IFERROR(IF(SelectFedGrant="*",$D363, _xlfn.AGGREGATE(15,6,(1/(FedGrant_Data[Grant Name] = SelectFedGrant))*ROW(FedGrant_Data[Grant Name]), $D363)-TopRow), ""))</f>
        <v/>
      </c>
    </row>
    <row r="364" spans="4:6" x14ac:dyDescent="0.25">
      <c r="D364">
        <v>356</v>
      </c>
      <c r="E364">
        <v>1</v>
      </c>
      <c r="F364" t="str">
        <f>IF($D364&gt;NumRow, "",IFERROR(IF(SelectFedGrant="*",$D364, _xlfn.AGGREGATE(15,6,(1/(FedGrant_Data[Grant Name] = SelectFedGrant))*ROW(FedGrant_Data[Grant Name]), $D364)-TopRow), ""))</f>
        <v/>
      </c>
    </row>
    <row r="365" spans="4:6" x14ac:dyDescent="0.25">
      <c r="D365">
        <v>357</v>
      </c>
      <c r="E365">
        <v>1</v>
      </c>
      <c r="F365" t="str">
        <f>IF($D365&gt;NumRow, "",IFERROR(IF(SelectFedGrant="*",$D365, _xlfn.AGGREGATE(15,6,(1/(FedGrant_Data[Grant Name] = SelectFedGrant))*ROW(FedGrant_Data[Grant Name]), $D365)-TopRow), ""))</f>
        <v/>
      </c>
    </row>
    <row r="366" spans="4:6" x14ac:dyDescent="0.25">
      <c r="D366">
        <v>358</v>
      </c>
      <c r="E366">
        <v>1</v>
      </c>
      <c r="F366" t="str">
        <f>IF($D366&gt;NumRow, "",IFERROR(IF(SelectFedGrant="*",$D366, _xlfn.AGGREGATE(15,6,(1/(FedGrant_Data[Grant Name] = SelectFedGrant))*ROW(FedGrant_Data[Grant Name]), $D366)-TopRow), ""))</f>
        <v/>
      </c>
    </row>
    <row r="367" spans="4:6" x14ac:dyDescent="0.25">
      <c r="D367">
        <v>359</v>
      </c>
      <c r="E367">
        <v>1</v>
      </c>
      <c r="F367" t="str">
        <f>IF($D367&gt;NumRow, "",IFERROR(IF(SelectFedGrant="*",$D367, _xlfn.AGGREGATE(15,6,(1/(FedGrant_Data[Grant Name] = SelectFedGrant))*ROW(FedGrant_Data[Grant Name]), $D367)-TopRow), ""))</f>
        <v/>
      </c>
    </row>
    <row r="368" spans="4:6" x14ac:dyDescent="0.25">
      <c r="D368">
        <v>360</v>
      </c>
      <c r="E368">
        <v>1</v>
      </c>
      <c r="F368" t="str">
        <f>IF($D368&gt;NumRow, "",IFERROR(IF(SelectFedGrant="*",$D368, _xlfn.AGGREGATE(15,6,(1/(FedGrant_Data[Grant Name] = SelectFedGrant))*ROW(FedGrant_Data[Grant Name]), $D368)-TopRow), ""))</f>
        <v/>
      </c>
    </row>
    <row r="369" spans="4:6" x14ac:dyDescent="0.25">
      <c r="D369">
        <v>361</v>
      </c>
      <c r="E369">
        <v>1</v>
      </c>
      <c r="F369" t="str">
        <f>IF($D369&gt;NumRow, "",IFERROR(IF(SelectFedGrant="*",$D369, _xlfn.AGGREGATE(15,6,(1/(FedGrant_Data[Grant Name] = SelectFedGrant))*ROW(FedGrant_Data[Grant Name]), $D369)-TopRow), ""))</f>
        <v/>
      </c>
    </row>
    <row r="370" spans="4:6" x14ac:dyDescent="0.25">
      <c r="D370">
        <v>362</v>
      </c>
      <c r="E370">
        <v>1</v>
      </c>
      <c r="F370" t="str">
        <f>IF($D370&gt;NumRow, "",IFERROR(IF(SelectFedGrant="*",$D370, _xlfn.AGGREGATE(15,6,(1/(FedGrant_Data[Grant Name] = SelectFedGrant))*ROW(FedGrant_Data[Grant Name]), $D370)-TopRow), ""))</f>
        <v/>
      </c>
    </row>
    <row r="371" spans="4:6" x14ac:dyDescent="0.25">
      <c r="D371">
        <v>363</v>
      </c>
      <c r="E371">
        <v>1</v>
      </c>
      <c r="F371" t="str">
        <f>IF($D371&gt;NumRow, "",IFERROR(IF(SelectFedGrant="*",$D371, _xlfn.AGGREGATE(15,6,(1/(FedGrant_Data[Grant Name] = SelectFedGrant))*ROW(FedGrant_Data[Grant Name]), $D371)-TopRow), ""))</f>
        <v/>
      </c>
    </row>
    <row r="372" spans="4:6" x14ac:dyDescent="0.25">
      <c r="D372">
        <v>364</v>
      </c>
      <c r="E372">
        <v>1</v>
      </c>
      <c r="F372" t="str">
        <f>IF($D372&gt;NumRow, "",IFERROR(IF(SelectFedGrant="*",$D372, _xlfn.AGGREGATE(15,6,(1/(FedGrant_Data[Grant Name] = SelectFedGrant))*ROW(FedGrant_Data[Grant Name]), $D372)-TopRow), ""))</f>
        <v/>
      </c>
    </row>
    <row r="373" spans="4:6" x14ac:dyDescent="0.25">
      <c r="D373">
        <v>365</v>
      </c>
      <c r="E373">
        <v>1</v>
      </c>
      <c r="F373" t="str">
        <f>IF($D373&gt;NumRow, "",IFERROR(IF(SelectFedGrant="*",$D373, _xlfn.AGGREGATE(15,6,(1/(FedGrant_Data[Grant Name] = SelectFedGrant))*ROW(FedGrant_Data[Grant Name]), $D373)-TopRow), ""))</f>
        <v/>
      </c>
    </row>
    <row r="374" spans="4:6" x14ac:dyDescent="0.25">
      <c r="D374">
        <v>366</v>
      </c>
      <c r="E374">
        <v>1</v>
      </c>
      <c r="F374" t="str">
        <f>IF($D374&gt;NumRow, "",IFERROR(IF(SelectFedGrant="*",$D374, _xlfn.AGGREGATE(15,6,(1/(FedGrant_Data[Grant Name] = SelectFedGrant))*ROW(FedGrant_Data[Grant Name]), $D374)-TopRow), ""))</f>
        <v/>
      </c>
    </row>
    <row r="375" spans="4:6" x14ac:dyDescent="0.25">
      <c r="D375">
        <v>367</v>
      </c>
      <c r="E375">
        <v>1</v>
      </c>
      <c r="F375" t="str">
        <f>IF($D375&gt;NumRow, "",IFERROR(IF(SelectFedGrant="*",$D375, _xlfn.AGGREGATE(15,6,(1/(FedGrant_Data[Grant Name] = SelectFedGrant))*ROW(FedGrant_Data[Grant Name]), $D375)-TopRow), ""))</f>
        <v/>
      </c>
    </row>
    <row r="376" spans="4:6" x14ac:dyDescent="0.25">
      <c r="D376">
        <v>368</v>
      </c>
      <c r="E376">
        <v>1</v>
      </c>
      <c r="F376" t="str">
        <f>IF($D376&gt;NumRow, "",IFERROR(IF(SelectFedGrant="*",$D376, _xlfn.AGGREGATE(15,6,(1/(FedGrant_Data[Grant Name] = SelectFedGrant))*ROW(FedGrant_Data[Grant Name]), $D376)-TopRow), ""))</f>
        <v/>
      </c>
    </row>
    <row r="377" spans="4:6" x14ac:dyDescent="0.25">
      <c r="D377">
        <v>369</v>
      </c>
      <c r="E377">
        <v>1</v>
      </c>
      <c r="F377" t="str">
        <f>IF($D377&gt;NumRow, "",IFERROR(IF(SelectFedGrant="*",$D377, _xlfn.AGGREGATE(15,6,(1/(FedGrant_Data[Grant Name] = SelectFedGrant))*ROW(FedGrant_Data[Grant Name]), $D377)-TopRow), ""))</f>
        <v/>
      </c>
    </row>
    <row r="378" spans="4:6" x14ac:dyDescent="0.25">
      <c r="D378">
        <v>370</v>
      </c>
      <c r="E378">
        <v>1</v>
      </c>
      <c r="F378" t="str">
        <f>IF($D378&gt;NumRow, "",IFERROR(IF(SelectFedGrant="*",$D378, _xlfn.AGGREGATE(15,6,(1/(FedGrant_Data[Grant Name] = SelectFedGrant))*ROW(FedGrant_Data[Grant Name]), $D378)-TopRow), ""))</f>
        <v/>
      </c>
    </row>
    <row r="379" spans="4:6" x14ac:dyDescent="0.25">
      <c r="D379">
        <v>371</v>
      </c>
      <c r="E379">
        <v>1</v>
      </c>
      <c r="F379" t="str">
        <f>IF($D379&gt;NumRow, "",IFERROR(IF(SelectFedGrant="*",$D379, _xlfn.AGGREGATE(15,6,(1/(FedGrant_Data[Grant Name] = SelectFedGrant))*ROW(FedGrant_Data[Grant Name]), $D379)-TopRow), ""))</f>
        <v/>
      </c>
    </row>
    <row r="380" spans="4:6" x14ac:dyDescent="0.25">
      <c r="D380">
        <v>372</v>
      </c>
      <c r="E380">
        <v>1</v>
      </c>
      <c r="F380" t="str">
        <f>IF($D380&gt;NumRow, "",IFERROR(IF(SelectFedGrant="*",$D380, _xlfn.AGGREGATE(15,6,(1/(FedGrant_Data[Grant Name] = SelectFedGrant))*ROW(FedGrant_Data[Grant Name]), $D380)-TopRow), ""))</f>
        <v/>
      </c>
    </row>
    <row r="381" spans="4:6" x14ac:dyDescent="0.25">
      <c r="D381">
        <v>373</v>
      </c>
      <c r="E381">
        <v>1</v>
      </c>
      <c r="F381" t="str">
        <f>IF($D381&gt;NumRow, "",IFERROR(IF(SelectFedGrant="*",$D381, _xlfn.AGGREGATE(15,6,(1/(FedGrant_Data[Grant Name] = SelectFedGrant))*ROW(FedGrant_Data[Grant Name]), $D381)-TopRow), ""))</f>
        <v/>
      </c>
    </row>
    <row r="382" spans="4:6" x14ac:dyDescent="0.25">
      <c r="D382">
        <v>374</v>
      </c>
      <c r="E382">
        <v>1</v>
      </c>
      <c r="F382" t="str">
        <f>IF($D382&gt;NumRow, "",IFERROR(IF(SelectFedGrant="*",$D382, _xlfn.AGGREGATE(15,6,(1/(FedGrant_Data[Grant Name] = SelectFedGrant))*ROW(FedGrant_Data[Grant Name]), $D382)-TopRow), ""))</f>
        <v/>
      </c>
    </row>
    <row r="383" spans="4:6" x14ac:dyDescent="0.25">
      <c r="D383">
        <v>375</v>
      </c>
      <c r="E383">
        <v>1</v>
      </c>
      <c r="F383" t="str">
        <f>IF($D383&gt;NumRow, "",IFERROR(IF(SelectFedGrant="*",$D383, _xlfn.AGGREGATE(15,6,(1/(FedGrant_Data[Grant Name] = SelectFedGrant))*ROW(FedGrant_Data[Grant Name]), $D383)-TopRow), ""))</f>
        <v/>
      </c>
    </row>
    <row r="384" spans="4:6" x14ac:dyDescent="0.25">
      <c r="D384">
        <v>376</v>
      </c>
      <c r="E384">
        <v>1</v>
      </c>
      <c r="F384" t="str">
        <f>IF($D384&gt;NumRow, "",IFERROR(IF(SelectFedGrant="*",$D384, _xlfn.AGGREGATE(15,6,(1/(FedGrant_Data[Grant Name] = SelectFedGrant))*ROW(FedGrant_Data[Grant Name]), $D384)-TopRow), ""))</f>
        <v/>
      </c>
    </row>
    <row r="385" spans="4:6" x14ac:dyDescent="0.25">
      <c r="D385">
        <v>377</v>
      </c>
      <c r="E385">
        <v>1</v>
      </c>
      <c r="F385" t="str">
        <f>IF($D385&gt;NumRow, "",IFERROR(IF(SelectFedGrant="*",$D385, _xlfn.AGGREGATE(15,6,(1/(FedGrant_Data[Grant Name] = SelectFedGrant))*ROW(FedGrant_Data[Grant Name]), $D385)-TopRow), ""))</f>
        <v/>
      </c>
    </row>
    <row r="386" spans="4:6" x14ac:dyDescent="0.25">
      <c r="D386">
        <v>378</v>
      </c>
      <c r="E386">
        <v>1</v>
      </c>
      <c r="F386" t="str">
        <f>IF($D386&gt;NumRow, "",IFERROR(IF(SelectFedGrant="*",$D386, _xlfn.AGGREGATE(15,6,(1/(FedGrant_Data[Grant Name] = SelectFedGrant))*ROW(FedGrant_Data[Grant Name]), $D386)-TopRow), ""))</f>
        <v/>
      </c>
    </row>
    <row r="387" spans="4:6" x14ac:dyDescent="0.25">
      <c r="D387">
        <v>379</v>
      </c>
      <c r="E387">
        <v>1</v>
      </c>
      <c r="F387" t="str">
        <f>IF($D387&gt;NumRow, "",IFERROR(IF(SelectFedGrant="*",$D387, _xlfn.AGGREGATE(15,6,(1/(FedGrant_Data[Grant Name] = SelectFedGrant))*ROW(FedGrant_Data[Grant Name]), $D387)-TopRow), ""))</f>
        <v/>
      </c>
    </row>
    <row r="388" spans="4:6" x14ac:dyDescent="0.25">
      <c r="D388">
        <v>380</v>
      </c>
      <c r="E388">
        <v>1</v>
      </c>
      <c r="F388" t="str">
        <f>IF($D388&gt;NumRow, "",IFERROR(IF(SelectFedGrant="*",$D388, _xlfn.AGGREGATE(15,6,(1/(FedGrant_Data[Grant Name] = SelectFedGrant))*ROW(FedGrant_Data[Grant Name]), $D388)-TopRow), ""))</f>
        <v/>
      </c>
    </row>
    <row r="389" spans="4:6" x14ac:dyDescent="0.25">
      <c r="D389">
        <v>381</v>
      </c>
      <c r="E389">
        <v>1</v>
      </c>
      <c r="F389" t="str">
        <f>IF($D389&gt;NumRow, "",IFERROR(IF(SelectFedGrant="*",$D389, _xlfn.AGGREGATE(15,6,(1/(FedGrant_Data[Grant Name] = SelectFedGrant))*ROW(FedGrant_Data[Grant Name]), $D389)-TopRow), ""))</f>
        <v/>
      </c>
    </row>
    <row r="390" spans="4:6" x14ac:dyDescent="0.25">
      <c r="D390">
        <v>382</v>
      </c>
      <c r="E390">
        <v>1</v>
      </c>
      <c r="F390" t="str">
        <f>IF($D390&gt;NumRow, "",IFERROR(IF(SelectFedGrant="*",$D390, _xlfn.AGGREGATE(15,6,(1/(FedGrant_Data[Grant Name] = SelectFedGrant))*ROW(FedGrant_Data[Grant Name]), $D390)-TopRow), ""))</f>
        <v/>
      </c>
    </row>
    <row r="391" spans="4:6" x14ac:dyDescent="0.25">
      <c r="D391">
        <v>383</v>
      </c>
      <c r="E391">
        <v>1</v>
      </c>
      <c r="F391" t="str">
        <f>IF($D391&gt;NumRow, "",IFERROR(IF(SelectFedGrant="*",$D391, _xlfn.AGGREGATE(15,6,(1/(FedGrant_Data[Grant Name] = SelectFedGrant))*ROW(FedGrant_Data[Grant Name]), $D391)-TopRow), ""))</f>
        <v/>
      </c>
    </row>
    <row r="392" spans="4:6" x14ac:dyDescent="0.25">
      <c r="D392">
        <v>384</v>
      </c>
      <c r="E392">
        <v>1</v>
      </c>
      <c r="F392" t="str">
        <f>IF($D392&gt;NumRow, "",IFERROR(IF(SelectFedGrant="*",$D392, _xlfn.AGGREGATE(15,6,(1/(FedGrant_Data[Grant Name] = SelectFedGrant))*ROW(FedGrant_Data[Grant Name]), $D392)-TopRow), ""))</f>
        <v/>
      </c>
    </row>
    <row r="393" spans="4:6" x14ac:dyDescent="0.25">
      <c r="D393">
        <v>385</v>
      </c>
      <c r="E393">
        <v>1</v>
      </c>
      <c r="F393" t="str">
        <f>IF($D393&gt;NumRow, "",IFERROR(IF(SelectFedGrant="*",$D393, _xlfn.AGGREGATE(15,6,(1/(FedGrant_Data[Grant Name] = SelectFedGrant))*ROW(FedGrant_Data[Grant Name]), $D393)-TopRow), ""))</f>
        <v/>
      </c>
    </row>
    <row r="394" spans="4:6" x14ac:dyDescent="0.25">
      <c r="D394">
        <v>386</v>
      </c>
      <c r="E394">
        <v>1</v>
      </c>
      <c r="F394" t="str">
        <f>IF($D394&gt;NumRow, "",IFERROR(IF(SelectFedGrant="*",$D394, _xlfn.AGGREGATE(15,6,(1/(FedGrant_Data[Grant Name] = SelectFedGrant))*ROW(FedGrant_Data[Grant Name]), $D394)-TopRow), ""))</f>
        <v/>
      </c>
    </row>
    <row r="395" spans="4:6" x14ac:dyDescent="0.25">
      <c r="D395">
        <v>387</v>
      </c>
      <c r="E395">
        <v>1</v>
      </c>
      <c r="F395" t="str">
        <f>IF($D395&gt;NumRow, "",IFERROR(IF(SelectFedGrant="*",$D395, _xlfn.AGGREGATE(15,6,(1/(FedGrant_Data[Grant Name] = SelectFedGrant))*ROW(FedGrant_Data[Grant Name]), $D395)-TopRow), ""))</f>
        <v/>
      </c>
    </row>
    <row r="396" spans="4:6" x14ac:dyDescent="0.25">
      <c r="D396">
        <v>388</v>
      </c>
      <c r="E396">
        <v>1</v>
      </c>
      <c r="F396" t="str">
        <f>IF($D396&gt;NumRow, "",IFERROR(IF(SelectFedGrant="*",$D396, _xlfn.AGGREGATE(15,6,(1/(FedGrant_Data[Grant Name] = SelectFedGrant))*ROW(FedGrant_Data[Grant Name]), $D396)-TopRow), ""))</f>
        <v/>
      </c>
    </row>
    <row r="397" spans="4:6" x14ac:dyDescent="0.25">
      <c r="D397">
        <v>389</v>
      </c>
      <c r="E397">
        <v>1</v>
      </c>
      <c r="F397" t="str">
        <f>IF($D397&gt;NumRow, "",IFERROR(IF(SelectFedGrant="*",$D397, _xlfn.AGGREGATE(15,6,(1/(FedGrant_Data[Grant Name] = SelectFedGrant))*ROW(FedGrant_Data[Grant Name]), $D397)-TopRow), ""))</f>
        <v/>
      </c>
    </row>
    <row r="398" spans="4:6" x14ac:dyDescent="0.25">
      <c r="D398">
        <v>390</v>
      </c>
      <c r="E398">
        <v>1</v>
      </c>
      <c r="F398" t="str">
        <f>IF($D398&gt;NumRow, "",IFERROR(IF(SelectFedGrant="*",$D398, _xlfn.AGGREGATE(15,6,(1/(FedGrant_Data[Grant Name] = SelectFedGrant))*ROW(FedGrant_Data[Grant Name]), $D398)-TopRow), ""))</f>
        <v/>
      </c>
    </row>
    <row r="399" spans="4:6" x14ac:dyDescent="0.25">
      <c r="D399">
        <v>391</v>
      </c>
      <c r="E399">
        <v>1</v>
      </c>
      <c r="F399" t="str">
        <f>IF($D399&gt;NumRow, "",IFERROR(IF(SelectFedGrant="*",$D399, _xlfn.AGGREGATE(15,6,(1/(FedGrant_Data[Grant Name] = SelectFedGrant))*ROW(FedGrant_Data[Grant Name]), $D399)-TopRow), ""))</f>
        <v/>
      </c>
    </row>
    <row r="400" spans="4:6" x14ac:dyDescent="0.25">
      <c r="D400">
        <v>392</v>
      </c>
      <c r="E400">
        <v>1</v>
      </c>
      <c r="F400" t="str">
        <f>IF($D400&gt;NumRow, "",IFERROR(IF(SelectFedGrant="*",$D400, _xlfn.AGGREGATE(15,6,(1/(FedGrant_Data[Grant Name] = SelectFedGrant))*ROW(FedGrant_Data[Grant Name]), $D400)-TopRow), ""))</f>
        <v/>
      </c>
    </row>
    <row r="401" spans="4:6" x14ac:dyDescent="0.25">
      <c r="D401">
        <v>393</v>
      </c>
      <c r="E401">
        <v>1</v>
      </c>
      <c r="F401" t="str">
        <f>IF($D401&gt;NumRow, "",IFERROR(IF(SelectFedGrant="*",$D401, _xlfn.AGGREGATE(15,6,(1/(FedGrant_Data[Grant Name] = SelectFedGrant))*ROW(FedGrant_Data[Grant Name]), $D401)-TopRow), ""))</f>
        <v/>
      </c>
    </row>
    <row r="402" spans="4:6" x14ac:dyDescent="0.25">
      <c r="D402">
        <v>394</v>
      </c>
      <c r="E402">
        <v>1</v>
      </c>
      <c r="F402" t="str">
        <f>IF($D402&gt;NumRow, "",IFERROR(IF(SelectFedGrant="*",$D402, _xlfn.AGGREGATE(15,6,(1/(FedGrant_Data[Grant Name] = SelectFedGrant))*ROW(FedGrant_Data[Grant Name]), $D402)-TopRow), ""))</f>
        <v/>
      </c>
    </row>
    <row r="403" spans="4:6" x14ac:dyDescent="0.25">
      <c r="D403">
        <v>395</v>
      </c>
      <c r="E403">
        <v>1</v>
      </c>
      <c r="F403" t="str">
        <f>IF($D403&gt;NumRow, "",IFERROR(IF(SelectFedGrant="*",$D403, _xlfn.AGGREGATE(15,6,(1/(FedGrant_Data[Grant Name] = SelectFedGrant))*ROW(FedGrant_Data[Grant Name]), $D403)-TopRow), ""))</f>
        <v/>
      </c>
    </row>
    <row r="404" spans="4:6" x14ac:dyDescent="0.25">
      <c r="D404">
        <v>396</v>
      </c>
      <c r="E404">
        <v>1</v>
      </c>
      <c r="F404" t="str">
        <f>IF($D404&gt;NumRow, "",IFERROR(IF(SelectFedGrant="*",$D404, _xlfn.AGGREGATE(15,6,(1/(FedGrant_Data[Grant Name] = SelectFedGrant))*ROW(FedGrant_Data[Grant Name]), $D404)-TopRow), ""))</f>
        <v/>
      </c>
    </row>
    <row r="405" spans="4:6" x14ac:dyDescent="0.25">
      <c r="D405">
        <v>397</v>
      </c>
      <c r="E405">
        <v>1</v>
      </c>
      <c r="F405" t="str">
        <f>IF($D405&gt;NumRow, "",IFERROR(IF(SelectFedGrant="*",$D405, _xlfn.AGGREGATE(15,6,(1/(FedGrant_Data[Grant Name] = SelectFedGrant))*ROW(FedGrant_Data[Grant Name]), $D405)-TopRow), ""))</f>
        <v/>
      </c>
    </row>
    <row r="406" spans="4:6" x14ac:dyDescent="0.25">
      <c r="D406">
        <v>398</v>
      </c>
      <c r="E406">
        <v>1</v>
      </c>
      <c r="F406" t="str">
        <f>IF($D406&gt;NumRow, "",IFERROR(IF(SelectFedGrant="*",$D406, _xlfn.AGGREGATE(15,6,(1/(FedGrant_Data[Grant Name] = SelectFedGrant))*ROW(FedGrant_Data[Grant Name]), $D406)-TopRow), ""))</f>
        <v/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C7F7-570E-42A8-A44F-54EA6BBBFDDA}">
  <sheetPr codeName="Sheet4"/>
  <dimension ref="A2:T263"/>
  <sheetViews>
    <sheetView workbookViewId="0">
      <selection activeCell="E15" sqref="E15"/>
    </sheetView>
  </sheetViews>
  <sheetFormatPr defaultRowHeight="15" x14ac:dyDescent="0.25"/>
  <cols>
    <col min="2" max="2" width="7.85546875" customWidth="1"/>
    <col min="3" max="3" width="55.7109375" bestFit="1" customWidth="1"/>
    <col min="4" max="4" width="14.5703125" customWidth="1"/>
    <col min="5" max="5" width="18.42578125" customWidth="1"/>
    <col min="6" max="6" width="20.140625" customWidth="1"/>
    <col min="7" max="7" width="15.42578125" customWidth="1"/>
    <col min="8" max="8" width="17.140625" customWidth="1"/>
    <col min="11" max="11" width="11.42578125" customWidth="1"/>
    <col min="14" max="14" width="16.140625" customWidth="1"/>
    <col min="18" max="18" width="31.28515625" customWidth="1"/>
  </cols>
  <sheetData>
    <row r="2" spans="2:20" x14ac:dyDescent="0.25">
      <c r="M2" t="s">
        <v>263</v>
      </c>
      <c r="R2" t="s">
        <v>256</v>
      </c>
    </row>
    <row r="3" spans="2:20" x14ac:dyDescent="0.25">
      <c r="R3" t="s">
        <v>255</v>
      </c>
    </row>
    <row r="4" spans="2:20" x14ac:dyDescent="0.25">
      <c r="Q4" t="s">
        <v>254</v>
      </c>
      <c r="R4">
        <f>COUNT(IF(Table10[President $ Change]&lt;&gt;0, Table10[President $ Change]))</f>
        <v>9</v>
      </c>
    </row>
    <row r="5" spans="2:20" x14ac:dyDescent="0.25">
      <c r="B5" s="32" t="s">
        <v>0</v>
      </c>
      <c r="C5" s="32" t="s">
        <v>1</v>
      </c>
      <c r="D5" s="32" t="s">
        <v>2</v>
      </c>
      <c r="E5" s="32" t="s">
        <v>3</v>
      </c>
      <c r="F5" s="32" t="s">
        <v>4</v>
      </c>
      <c r="G5" s="32" t="s">
        <v>5</v>
      </c>
      <c r="H5" s="32" t="s">
        <v>6</v>
      </c>
      <c r="I5" s="41" t="s">
        <v>249</v>
      </c>
      <c r="J5" s="32" t="s">
        <v>250</v>
      </c>
      <c r="K5" s="32" t="s">
        <v>251</v>
      </c>
      <c r="N5" t="s">
        <v>248</v>
      </c>
      <c r="O5" t="s">
        <v>0</v>
      </c>
      <c r="R5" t="str">
        <f>'Helper Table Pivot Table'!E4</f>
        <v>CHILD AND ADULT CARE FOOD PROGRAM</v>
      </c>
      <c r="S5" t="s">
        <v>252</v>
      </c>
      <c r="T5" t="str">
        <f>INDEX(Table10[Grant name],MATCH('Helper Table'!$R$5,Table10[Grant name], 0)):INDEX(Table10[Grant name],MATCH('Helper Table'!$R$6,Table10[Grant name],0))</f>
        <v>MEDICARE ENROLLMENT ASSISTANCE PROGRAM</v>
      </c>
    </row>
    <row r="6" spans="2:20" x14ac:dyDescent="0.25">
      <c r="B6" s="35">
        <f>IF(Control!$O9="","",INDEX(MemberOrg_Data[CFDA], Control!$O9))</f>
        <v>10.558</v>
      </c>
      <c r="C6" s="35" t="str">
        <f t="array" ref="C6">IFERROR(INDEX(MemberOrg_Data[FEDERALPROGRAMNAME], MATCH(1, (SelectMemberOrg = MemberOrg_Data[Auditee Name])*(B6 = MemberOrg_Data[CFDA]), 0)), "")</f>
        <v>CHILD AND ADULT CARE FOOD PROGRAM</v>
      </c>
      <c r="D6" s="36">
        <f>IFERROR(IF(B6 &lt;&gt; "", SUMIFS(MemberOrg_Data[Total Amount], MemberOrg_Data[Auditee Name], SelectMemberOrg, MemberOrg_Data[CFDA], B6), ""), "")</f>
        <v>404804</v>
      </c>
      <c r="E6" s="37">
        <f>IFERROR(INDEX(BudgetApprop_Data[President: % Change from 2019], MATCH(B6, BudgetApprop_Data[CFDA], 0)), "")</f>
        <v>6.0000000000000001E-3</v>
      </c>
      <c r="F6" s="36">
        <f t="shared" ref="F6:F69" si="0">IFERROR(IF(B6&lt;&gt;"", D6*E6, ""), "" )</f>
        <v>2428.8240000000001</v>
      </c>
      <c r="G6" s="46" t="str">
        <f>IFERROR(INDEX(BudgetApprop_Data[House: % Change from 2019], MATCH(FPWA_HelperTable[[#This Row],[CFDA]], BudgetApprop_Data[CFDA], 0)), "")</f>
        <v/>
      </c>
      <c r="H6" s="36" t="str">
        <f>IFERROR(IF(B6&lt;&gt; "", D6*G6, ""), "")</f>
        <v/>
      </c>
      <c r="I6" s="35">
        <f>IF(B6 = "", "", IF(FPWA_HelperTable[[#This Row],[President $ Change]]&lt;&gt;"", RANK(F6, $F$6:$F$262)+COUNTIF($F$6:F6, F6)-1, 0))</f>
        <v>1</v>
      </c>
      <c r="J6" s="35" t="str">
        <f>IFERROR((IF(I6= 0, COUNTIF($I$6:I6, 0), "")+MAX($I$6:$I$262)), "")</f>
        <v/>
      </c>
      <c r="K6" s="35">
        <f>IF(B6&lt;&gt; "", SUM(I6, J6), "")</f>
        <v>1</v>
      </c>
      <c r="L6" s="33"/>
      <c r="M6" s="33"/>
      <c r="N6" s="34">
        <v>1</v>
      </c>
      <c r="O6" s="33">
        <f>IFERROR(INDEX($B$6:$B$262, MATCH(N6, $K$6:$K$262, 0)), "")</f>
        <v>10.558</v>
      </c>
      <c r="P6" s="33"/>
      <c r="R6" t="str">
        <f>INDEX(Table10[Grant name], 'Helper Table'!R4)</f>
        <v>SENIOR COMMUNITY SERVICE EMPLOYMENT PROGRAM</v>
      </c>
      <c r="S6" t="s">
        <v>253</v>
      </c>
      <c r="T6">
        <f>INDEX(Table10[President $ Change],MATCH('Helper Table'!$R$5,Table10[Grant name],0)):INDEX(Table10[President $ Change],MATCH('Helper Table'!$R$6,Table10[Grant name],0))</f>
        <v>-0.94937183339684772</v>
      </c>
    </row>
    <row r="7" spans="2:20" x14ac:dyDescent="0.25">
      <c r="B7" s="35">
        <f>IF(Control!$O10="","",INDEX(MemberOrg_Data[CFDA], Control!$O10))</f>
        <v>10.561</v>
      </c>
      <c r="C7" s="35" t="str">
        <f t="array" ref="C7">IFERROR(INDEX(MemberOrg_Data[FEDERALPROGRAMNAME], MATCH(1, (SelectMemberOrg = MemberOrg_Data[Auditee Name])*(B7 = MemberOrg_Data[CFDA]), 0)), "")</f>
        <v>STATE ADM MATCHING GRANTS-NUTRITION ASST. PROGRAM</v>
      </c>
      <c r="D7" s="36">
        <f>IFERROR(IF(B7 &lt;&gt; "", SUMIFS(MemberOrg_Data[Total Amount], MemberOrg_Data[Auditee Name], SelectMemberOrg, MemberOrg_Data[CFDA], B7), ""), "")</f>
        <v>113124</v>
      </c>
      <c r="E7" s="37">
        <f>IFERROR(INDEX(BudgetApprop_Data[President: % Change from 2019], MATCH(B7, BudgetApprop_Data[CFDA], 0)), "")</f>
        <v>0</v>
      </c>
      <c r="F7" s="36">
        <f t="shared" si="0"/>
        <v>0</v>
      </c>
      <c r="G7" s="46">
        <f>IFERROR(INDEX(BudgetApprop_Data[House: % Change from 2019], MATCH(FPWA_HelperTable[[#This Row],[CFDA]], BudgetApprop_Data[CFDA], 0)), "")</f>
        <v>7.5357297531398873E-2</v>
      </c>
      <c r="H7" s="36">
        <f t="shared" ref="H7:H70" si="1">IFERROR(IF(B7&lt;&gt; "", D7*G7, ""), "")</f>
        <v>8524.7189259419665</v>
      </c>
      <c r="I7" s="35">
        <f>IF(B7 = "", "", IF(FPWA_HelperTable[[#This Row],[President $ Change]]&lt;&gt;"", RANK(F7, $F$6:$F$262)+COUNTIF($F$6:F7, F7)-1, 0))</f>
        <v>3</v>
      </c>
      <c r="J7" s="35" t="str">
        <f>IFERROR((IF(I7= 0, COUNTIF($I$6:I7, 0), "")+MAX($I$6:$I$262)), "")</f>
        <v/>
      </c>
      <c r="K7" s="35">
        <f t="shared" ref="K7:K70" si="2">IF(B7&lt;&gt; "", SUM(I7, J7), "")</f>
        <v>3</v>
      </c>
      <c r="L7" s="33"/>
      <c r="M7" s="33"/>
      <c r="N7" s="34">
        <v>2</v>
      </c>
      <c r="O7" s="33">
        <f t="shared" ref="O7:O70" si="3">IFERROR(INDEX($B$6:$B$262, MATCH(N7, $K$6:$K$262, 0)), "")</f>
        <v>93.070999999999998</v>
      </c>
      <c r="P7" s="33"/>
    </row>
    <row r="8" spans="2:20" x14ac:dyDescent="0.25">
      <c r="B8" s="35">
        <f>IF(Control!$O11="","",INDEX(MemberOrg_Data[CFDA], Control!$O11))</f>
        <v>17.234999999999999</v>
      </c>
      <c r="C8" s="35" t="str">
        <f t="array" ref="C8">IFERROR(INDEX(MemberOrg_Data[FEDERALPROGRAMNAME], MATCH(1, (SelectMemberOrg = MemberOrg_Data[Auditee Name])*(B8 = MemberOrg_Data[CFDA]), 0)), "")</f>
        <v>SENIOR COMMUNITY SERVICE EMPLOYMENT PROGRAM</v>
      </c>
      <c r="D8" s="36">
        <f>IFERROR(IF(B8 &lt;&gt; "", SUMIFS(MemberOrg_Data[Total Amount], MemberOrg_Data[Auditee Name], SelectMemberOrg, MemberOrg_Data[CFDA], B8), ""), "")</f>
        <v>1837226</v>
      </c>
      <c r="E8" s="37">
        <f>IFERROR(INDEX(BudgetApprop_Data[President: % Change from 2019], MATCH(B8, BudgetApprop_Data[CFDA], 0)), "")</f>
        <v>-1</v>
      </c>
      <c r="F8" s="36">
        <f t="shared" si="0"/>
        <v>-1837226</v>
      </c>
      <c r="G8" s="46" t="str">
        <f>IFERROR(INDEX(BudgetApprop_Data[House: % Change from 2019], MATCH(FPWA_HelperTable[[#This Row],[CFDA]], BudgetApprop_Data[CFDA], 0)), "")</f>
        <v/>
      </c>
      <c r="H8" s="36" t="str">
        <f t="shared" si="1"/>
        <v/>
      </c>
      <c r="I8" s="35">
        <f>IF(B8 = "", "", IF(FPWA_HelperTable[[#This Row],[President $ Change]]&lt;&gt;"", RANK(F8, $F$6:$F$262)+COUNTIF($F$6:F8, F8)-1, 0))</f>
        <v>12</v>
      </c>
      <c r="J8" s="35" t="str">
        <f>IFERROR((IF(I8= 0, COUNTIF($I$6:I8, 0), "")+MAX($I$6:$I$262)), "")</f>
        <v/>
      </c>
      <c r="K8" s="35">
        <f t="shared" si="2"/>
        <v>12</v>
      </c>
      <c r="L8" s="33"/>
      <c r="M8" s="33"/>
      <c r="N8" s="34">
        <v>3</v>
      </c>
      <c r="O8" s="33">
        <f t="shared" si="3"/>
        <v>10.561</v>
      </c>
      <c r="P8" s="33"/>
    </row>
    <row r="9" spans="2:20" x14ac:dyDescent="0.25">
      <c r="B9" s="35">
        <f>IF(Control!$O12="","",INDEX(MemberOrg_Data[CFDA], Control!$O12))</f>
        <v>17.259</v>
      </c>
      <c r="C9" s="35" t="str">
        <f t="array" ref="C9">IFERROR(INDEX(MemberOrg_Data[FEDERALPROGRAMNAME], MATCH(1, (SelectMemberOrg = MemberOrg_Data[Auditee Name])*(B9 = MemberOrg_Data[CFDA]), 0)), "")</f>
        <v>WIA YOUTH ACTIVITIES</v>
      </c>
      <c r="D9" s="36">
        <f>IFERROR(IF(B9 &lt;&gt; "", SUMIFS(MemberOrg_Data[Total Amount], MemberOrg_Data[Auditee Name], SelectMemberOrg, MemberOrg_Data[CFDA], B9), ""), "")</f>
        <v>398295</v>
      </c>
      <c r="E9" s="37">
        <f>IFERROR(INDEX(BudgetApprop_Data[President: % Change from 2019], MATCH(B9, BudgetApprop_Data[CFDA], 0)), "")</f>
        <v>0</v>
      </c>
      <c r="F9" s="36">
        <f t="shared" si="0"/>
        <v>0</v>
      </c>
      <c r="G9" s="46">
        <f>IFERROR(INDEX(BudgetApprop_Data[House: % Change from 2019], MATCH(FPWA_HelperTable[[#This Row],[CFDA]], BudgetApprop_Data[CFDA], 0)), "")</f>
        <v>6.755260243632337E-2</v>
      </c>
      <c r="H9" s="36">
        <f t="shared" si="1"/>
        <v>26905.863787375416</v>
      </c>
      <c r="I9" s="35">
        <f>IF(B9 = "", "", IF(FPWA_HelperTable[[#This Row],[President $ Change]]&lt;&gt;"", RANK(F9, $F$6:$F$262)+COUNTIF($F$6:F9, F9)-1, 0))</f>
        <v>4</v>
      </c>
      <c r="J9" s="35" t="str">
        <f>IFERROR((IF(I9= 0, COUNTIF($I$6:I9, 0), "")+MAX($I$6:$I$262)), "")</f>
        <v/>
      </c>
      <c r="K9" s="35">
        <f t="shared" si="2"/>
        <v>4</v>
      </c>
      <c r="L9" s="33"/>
      <c r="M9" s="33"/>
      <c r="N9" s="34">
        <v>4</v>
      </c>
      <c r="O9" s="33">
        <f t="shared" si="3"/>
        <v>17.259</v>
      </c>
      <c r="P9" s="33"/>
    </row>
    <row r="10" spans="2:20" x14ac:dyDescent="0.25">
      <c r="B10" s="35">
        <f>IF(Control!$O13="","",INDEX(MemberOrg_Data[CFDA], Control!$O13))</f>
        <v>93.043999999999997</v>
      </c>
      <c r="C10" s="35" t="str">
        <f t="array" ref="C10">IFERROR(INDEX(MemberOrg_Data[FEDERALPROGRAMNAME], MATCH(1, (SelectMemberOrg = MemberOrg_Data[Auditee Name])*(B10 = MemberOrg_Data[CFDA]), 0)), "")</f>
        <v>SPECIAL PROGRAMS FOR THE AGING-TITLE III PART B</v>
      </c>
      <c r="D10" s="36">
        <f>IFERROR(IF(B10 &lt;&gt; "", SUMIFS(MemberOrg_Data[Total Amount], MemberOrg_Data[Auditee Name], SelectMemberOrg, MemberOrg_Data[CFDA], B10), ""), "")</f>
        <v>68567</v>
      </c>
      <c r="E10" s="37">
        <f>IFERROR(INDEX(BudgetApprop_Data[President: % Change from 2019], MATCH(B10, BudgetApprop_Data[CFDA], 0)), "")</f>
        <v>-2.1999999999999999E-2</v>
      </c>
      <c r="F10" s="36">
        <f t="shared" si="0"/>
        <v>-1508.4739999999999</v>
      </c>
      <c r="G10" s="46">
        <f>IFERROR(INDEX(BudgetApprop_Data[House: % Change from 2019], MATCH(FPWA_HelperTable[[#This Row],[CFDA]], BudgetApprop_Data[CFDA], 0)), "")</f>
        <v>9.58932568804957E-2</v>
      </c>
      <c r="H10" s="36">
        <f t="shared" si="1"/>
        <v>6575.1129445249489</v>
      </c>
      <c r="I10" s="35">
        <f>IF(B10 = "", "", IF(FPWA_HelperTable[[#This Row],[President $ Change]]&lt;&gt;"", RANK(F10, $F$6:$F$262)+COUNTIF($F$6:F10, F10)-1, 0))</f>
        <v>8</v>
      </c>
      <c r="J10" s="35" t="str">
        <f>IFERROR((IF(I10= 0, COUNTIF($I$6:I10, 0), "")+MAX($I$6:$I$262)), "")</f>
        <v/>
      </c>
      <c r="K10" s="35">
        <f t="shared" si="2"/>
        <v>8</v>
      </c>
      <c r="L10" s="33"/>
      <c r="M10" s="33"/>
      <c r="N10" s="34">
        <v>5</v>
      </c>
      <c r="O10" s="33">
        <f t="shared" si="3"/>
        <v>93.575000000000003</v>
      </c>
      <c r="P10" s="33"/>
    </row>
    <row r="11" spans="2:20" x14ac:dyDescent="0.25">
      <c r="B11" s="35">
        <f>IF(Control!$O14="","",INDEX(MemberOrg_Data[CFDA], Control!$O14))</f>
        <v>93.045000000000002</v>
      </c>
      <c r="C11" s="35" t="str">
        <f t="array" ref="C11">IFERROR(INDEX(MemberOrg_Data[FEDERALPROGRAMNAME], MATCH(1, (SelectMemberOrg = MemberOrg_Data[Auditee Name])*(B11 = MemberOrg_Data[CFDA]), 0)), "")</f>
        <v>SPECIAL PROGRAMS FOR THE AGING-TITLE III PART C</v>
      </c>
      <c r="D11" s="36">
        <f>IFERROR(IF(B11 &lt;&gt; "", SUMIFS(MemberOrg_Data[Total Amount], MemberOrg_Data[Auditee Name], SelectMemberOrg, MemberOrg_Data[CFDA], B11), ""), "")</f>
        <v>189703</v>
      </c>
      <c r="E11" s="37">
        <f>IFERROR(INDEX(BudgetApprop_Data[President: % Change from 2019], MATCH(B11, BudgetApprop_Data[CFDA], 0)), "")</f>
        <v>-2.1999999999999999E-2</v>
      </c>
      <c r="F11" s="36">
        <f t="shared" si="0"/>
        <v>-4173.4659999999994</v>
      </c>
      <c r="G11" s="46">
        <f>IFERROR(INDEX(BudgetApprop_Data[House: % Change from 2019], MATCH(FPWA_HelperTable[[#This Row],[CFDA]], BudgetApprop_Data[CFDA], 0)), "")</f>
        <v>5.9873784173359014E-2</v>
      </c>
      <c r="H11" s="36">
        <f t="shared" si="1"/>
        <v>11358.236479038726</v>
      </c>
      <c r="I11" s="35">
        <f>IF(B11 = "", "", IF(FPWA_HelperTable[[#This Row],[President $ Change]]&lt;&gt;"", RANK(F11, $F$6:$F$262)+COUNTIF($F$6:F11, F11)-1, 0))</f>
        <v>9</v>
      </c>
      <c r="J11" s="35" t="str">
        <f>IFERROR((IF(I11= 0, COUNTIF($I$6:I11, 0), "")+MAX($I$6:$I$262)), "")</f>
        <v/>
      </c>
      <c r="K11" s="35">
        <f t="shared" si="2"/>
        <v>9</v>
      </c>
      <c r="L11" s="33"/>
      <c r="M11" s="33"/>
      <c r="N11" s="34">
        <v>6</v>
      </c>
      <c r="O11" s="33">
        <f t="shared" si="3"/>
        <v>93.052999999999997</v>
      </c>
      <c r="P11" s="33"/>
    </row>
    <row r="12" spans="2:20" x14ac:dyDescent="0.25">
      <c r="B12" s="35">
        <f>IF(Control!$O15="","",INDEX(MemberOrg_Data[CFDA], Control!$O15))</f>
        <v>93.052999999999997</v>
      </c>
      <c r="C12" s="35" t="str">
        <f t="array" ref="C12">IFERROR(INDEX(MemberOrg_Data[FEDERALPROGRAMNAME], MATCH(1, (SelectMemberOrg = MemberOrg_Data[Auditee Name])*(B12 = MemberOrg_Data[CFDA]), 0)), "")</f>
        <v>NUTRITION SERVICES INCENTIVE PROGRAM</v>
      </c>
      <c r="D12" s="36">
        <f>IFERROR(IF(B12 &lt;&gt; "", SUMIFS(MemberOrg_Data[Total Amount], MemberOrg_Data[Auditee Name], SelectMemberOrg, MemberOrg_Data[CFDA], B12), ""), "")</f>
        <v>151965</v>
      </c>
      <c r="E12" s="37">
        <f>IFERROR(INDEX(BudgetApprop_Data[President: % Change from 2019], MATCH(B12, BudgetApprop_Data[CFDA], 0)), "")</f>
        <v>-6.2473058493524672E-6</v>
      </c>
      <c r="F12" s="36">
        <f t="shared" si="0"/>
        <v>-0.94937183339684772</v>
      </c>
      <c r="G12" s="46">
        <f>IFERROR(INDEX(BudgetApprop_Data[House: % Change from 2019], MATCH(FPWA_HelperTable[[#This Row],[CFDA]], BudgetApprop_Data[CFDA], 0)), "")</f>
        <v>6.204199438991935E-2</v>
      </c>
      <c r="H12" s="36">
        <f t="shared" si="1"/>
        <v>9428.2116774640945</v>
      </c>
      <c r="I12" s="35">
        <f>IF(B12 = "", "", IF(FPWA_HelperTable[[#This Row],[President $ Change]]&lt;&gt;"", RANK(F12, $F$6:$F$262)+COUNTIF($F$6:F12, F12)-1, 0))</f>
        <v>6</v>
      </c>
      <c r="J12" s="35" t="str">
        <f>IFERROR((IF(I12= 0, COUNTIF($I$6:I12, 0), "")+MAX($I$6:$I$262)), "")</f>
        <v/>
      </c>
      <c r="K12" s="35">
        <f t="shared" si="2"/>
        <v>6</v>
      </c>
      <c r="L12" s="33"/>
      <c r="M12" s="33"/>
      <c r="N12" s="34">
        <v>7</v>
      </c>
      <c r="O12" s="33">
        <f t="shared" si="3"/>
        <v>93.563000000000002</v>
      </c>
      <c r="P12" s="33"/>
    </row>
    <row r="13" spans="2:20" x14ac:dyDescent="0.25">
      <c r="B13" s="35">
        <f>IF(Control!$O16="","",INDEX(MemberOrg_Data[CFDA], Control!$O16))</f>
        <v>93.070999999999998</v>
      </c>
      <c r="C13" s="35" t="str">
        <f t="array" ref="C13">IFERROR(INDEX(MemberOrg_Data[FEDERALPROGRAMNAME], MATCH(1, (SelectMemberOrg = MemberOrg_Data[Auditee Name])*(B13 = MemberOrg_Data[CFDA]), 0)), "")</f>
        <v>MEDICARE ENROLLMENT ASSISTANCE PROGRAM</v>
      </c>
      <c r="D13" s="36">
        <f>IFERROR(IF(B13 &lt;&gt; "", SUMIFS(MemberOrg_Data[Total Amount], MemberOrg_Data[Auditee Name], SelectMemberOrg, MemberOrg_Data[CFDA], B13), ""), "")</f>
        <v>9088</v>
      </c>
      <c r="E13" s="37">
        <f>IFERROR(INDEX(BudgetApprop_Data[President: % Change from 2019], MATCH(B13, BudgetApprop_Data[CFDA], 0)), "")</f>
        <v>6.6000000000000003E-2</v>
      </c>
      <c r="F13" s="36">
        <f t="shared" si="0"/>
        <v>599.80799999999999</v>
      </c>
      <c r="G13" s="46" t="str">
        <f>IFERROR(INDEX(BudgetApprop_Data[House: % Change from 2019], MATCH(FPWA_HelperTable[[#This Row],[CFDA]], BudgetApprop_Data[CFDA], 0)), "")</f>
        <v/>
      </c>
      <c r="H13" s="36" t="str">
        <f t="shared" si="1"/>
        <v/>
      </c>
      <c r="I13" s="35">
        <f>IF(B13 = "", "", IF(FPWA_HelperTable[[#This Row],[President $ Change]]&lt;&gt;"", RANK(F13, $F$6:$F$262)+COUNTIF($F$6:F13, F13)-1, 0))</f>
        <v>2</v>
      </c>
      <c r="J13" s="35" t="str">
        <f>IFERROR((IF(I13= 0, COUNTIF($I$6:I13, 0), "")+MAX($I$6:$I$262)), "")</f>
        <v/>
      </c>
      <c r="K13" s="35">
        <f t="shared" si="2"/>
        <v>2</v>
      </c>
      <c r="L13" s="33"/>
      <c r="M13" s="33"/>
      <c r="N13" s="34">
        <v>8</v>
      </c>
      <c r="O13" s="33">
        <f t="shared" si="3"/>
        <v>93.043999999999997</v>
      </c>
      <c r="P13" s="33"/>
    </row>
    <row r="14" spans="2:20" x14ac:dyDescent="0.25">
      <c r="B14" s="35">
        <f>IF(Control!$O17="","",INDEX(MemberOrg_Data[CFDA], Control!$O17))</f>
        <v>93.091999999999999</v>
      </c>
      <c r="C14" s="35" t="str">
        <f t="array" ref="C14">IFERROR(INDEX(MemberOrg_Data[FEDERALPROGRAMNAME], MATCH(1, (SelectMemberOrg = MemberOrg_Data[Auditee Name])*(B14 = MemberOrg_Data[CFDA]), 0)), "")</f>
        <v>AFFORDABLE CARE ACT</v>
      </c>
      <c r="D14" s="36">
        <f>IFERROR(IF(B14 &lt;&gt; "", SUMIFS(MemberOrg_Data[Total Amount], MemberOrg_Data[Auditee Name], SelectMemberOrg, MemberOrg_Data[CFDA], B14), ""), "")</f>
        <v>312348</v>
      </c>
      <c r="E14" s="37" t="str">
        <f>IFERROR(INDEX(BudgetApprop_Data[President: % Change from 2019], MATCH(B14, BudgetApprop_Data[CFDA], 0)), "")</f>
        <v/>
      </c>
      <c r="F14" s="36" t="str">
        <f t="shared" si="0"/>
        <v/>
      </c>
      <c r="G14" s="46" t="str">
        <f>IFERROR(INDEX(BudgetApprop_Data[House: % Change from 2019], MATCH(FPWA_HelperTable[[#This Row],[CFDA]], BudgetApprop_Data[CFDA], 0)), "")</f>
        <v/>
      </c>
      <c r="H14" s="36" t="str">
        <f t="shared" si="1"/>
        <v/>
      </c>
      <c r="I14" s="35">
        <f>IF(B14 = "", "", IF(FPWA_HelperTable[[#This Row],[President $ Change]]&lt;&gt;"", RANK(F14, $F$6:$F$262)+COUNTIF($F$6:F14, F14)-1, 0))</f>
        <v>0</v>
      </c>
      <c r="J14" s="35">
        <f>IFERROR((IF(I14= 0, COUNTIF($I$6:I14, 0), "")+MAX($I$6:$I$262)), "")</f>
        <v>13</v>
      </c>
      <c r="K14" s="35">
        <f t="shared" si="2"/>
        <v>13</v>
      </c>
      <c r="L14" s="33"/>
      <c r="M14" s="33"/>
      <c r="N14" s="34">
        <v>9</v>
      </c>
      <c r="O14" s="33">
        <f t="shared" si="3"/>
        <v>93.045000000000002</v>
      </c>
      <c r="P14" s="33"/>
    </row>
    <row r="15" spans="2:20" x14ac:dyDescent="0.25">
      <c r="B15" s="35">
        <f>IF(Control!$O18="","",INDEX(MemberOrg_Data[CFDA], Control!$O18))</f>
        <v>93.331000000000003</v>
      </c>
      <c r="C15" s="35" t="str">
        <f t="array" ref="C15">IFERROR(INDEX(MemberOrg_Data[FEDERALPROGRAMNAME], MATCH(1, (SelectMemberOrg = MemberOrg_Data[Auditee Name])*(B15 = MemberOrg_Data[CFDA]), 0)), "")</f>
        <v>PARTNERSHIPS TO IMPROVE COMMUNITY HEALTH</v>
      </c>
      <c r="D15" s="36">
        <f>IFERROR(IF(B15 &lt;&gt; "", SUMIFS(MemberOrg_Data[Total Amount], MemberOrg_Data[Auditee Name], SelectMemberOrg, MemberOrg_Data[CFDA], B15), ""), "")</f>
        <v>2099</v>
      </c>
      <c r="E15" s="37" t="str">
        <f>IFERROR(INDEX(BudgetApprop_Data[President: % Change from 2019], MATCH(B15, BudgetApprop_Data[CFDA], 0)), "")</f>
        <v/>
      </c>
      <c r="F15" s="36" t="str">
        <f t="shared" si="0"/>
        <v/>
      </c>
      <c r="G15" s="46" t="str">
        <f>IFERROR(INDEX(BudgetApprop_Data[House: % Change from 2019], MATCH(FPWA_HelperTable[[#This Row],[CFDA]], BudgetApprop_Data[CFDA], 0)), "")</f>
        <v/>
      </c>
      <c r="H15" s="36" t="str">
        <f t="shared" si="1"/>
        <v/>
      </c>
      <c r="I15" s="35">
        <f>IF(B15 = "", "", IF(FPWA_HelperTable[[#This Row],[President $ Change]]&lt;&gt;"", RANK(F15, $F$6:$F$262)+COUNTIF($F$6:F15, F15)-1, 0))</f>
        <v>0</v>
      </c>
      <c r="J15" s="35">
        <f>IFERROR((IF(I15= 0, COUNTIF($I$6:I15, 0), "")+MAX($I$6:$I$262)), "")</f>
        <v>14</v>
      </c>
      <c r="K15" s="35">
        <f t="shared" si="2"/>
        <v>14</v>
      </c>
      <c r="L15" s="33"/>
      <c r="M15" s="33"/>
      <c r="N15" s="34">
        <v>10</v>
      </c>
      <c r="O15" s="33">
        <f t="shared" si="3"/>
        <v>93.569000000000003</v>
      </c>
      <c r="P15" s="33"/>
    </row>
    <row r="16" spans="2:20" x14ac:dyDescent="0.25">
      <c r="B16" s="35">
        <f>IF(Control!$O19="","",INDEX(MemberOrg_Data[CFDA], Control!$O19))</f>
        <v>93.563000000000002</v>
      </c>
      <c r="C16" s="35" t="str">
        <f t="array" ref="C16">IFERROR(INDEX(MemberOrg_Data[FEDERALPROGRAMNAME], MATCH(1, (SelectMemberOrg = MemberOrg_Data[Auditee Name])*(B16 = MemberOrg_Data[CFDA]), 0)), "")</f>
        <v>CHILD SUPPORT ENFORCEMENT</v>
      </c>
      <c r="D16" s="36">
        <f>IFERROR(IF(B16 &lt;&gt; "", SUMIFS(MemberOrg_Data[Total Amount], MemberOrg_Data[Auditee Name], SelectMemberOrg, MemberOrg_Data[CFDA], B16), ""), "")</f>
        <v>34882</v>
      </c>
      <c r="E16" s="37">
        <f>IFERROR(INDEX(BudgetApprop_Data[President: % Change from 2019], MATCH(B16, BudgetApprop_Data[CFDA], 0)), "")</f>
        <v>-3.1035247173575703E-3</v>
      </c>
      <c r="F16" s="36">
        <f t="shared" si="0"/>
        <v>-108.25714919086677</v>
      </c>
      <c r="G16" s="46">
        <f>IFERROR(INDEX(BudgetApprop_Data[House: % Change from 2019], MATCH(FPWA_HelperTable[[#This Row],[CFDA]], BudgetApprop_Data[CFDA], 0)), "")</f>
        <v>1.2635779206384394E-2</v>
      </c>
      <c r="H16" s="36">
        <f t="shared" si="1"/>
        <v>440.76125027710043</v>
      </c>
      <c r="I16" s="35">
        <f>IF(B16 = "", "", IF(FPWA_HelperTable[[#This Row],[President $ Change]]&lt;&gt;"", RANK(F16, $F$6:$F$262)+COUNTIF($F$6:F16, F16)-1, 0))</f>
        <v>7</v>
      </c>
      <c r="J16" s="35" t="str">
        <f>IFERROR((IF(I16= 0, COUNTIF($I$6:I16, 0), "")+MAX($I$6:$I$262)), "")</f>
        <v/>
      </c>
      <c r="K16" s="35">
        <f t="shared" si="2"/>
        <v>7</v>
      </c>
      <c r="L16" s="33"/>
      <c r="M16" s="33"/>
      <c r="N16" s="34">
        <v>11</v>
      </c>
      <c r="O16" s="33">
        <f t="shared" si="3"/>
        <v>93.667000000000002</v>
      </c>
      <c r="P16" s="33"/>
    </row>
    <row r="17" spans="2:16" x14ac:dyDescent="0.25">
      <c r="B17" s="35">
        <f>IF(Control!$O20="","",INDEX(MemberOrg_Data[CFDA], Control!$O20))</f>
        <v>93.569000000000003</v>
      </c>
      <c r="C17" s="35" t="str">
        <f t="array" ref="C17">IFERROR(INDEX(MemberOrg_Data[FEDERALPROGRAMNAME], MATCH(1, (SelectMemberOrg = MemberOrg_Data[Auditee Name])*(B17 = MemberOrg_Data[CFDA]), 0)), "")</f>
        <v>COMMUNITY SERVICES BLOCK GRANT</v>
      </c>
      <c r="D17" s="36">
        <f>IFERROR(IF(B17 &lt;&gt; "", SUMIFS(MemberOrg_Data[Total Amount], MemberOrg_Data[Auditee Name], SelectMemberOrg, MemberOrg_Data[CFDA], B17), ""), "")</f>
        <v>260979</v>
      </c>
      <c r="E17" s="37">
        <f>IFERROR(INDEX(BudgetApprop_Data[President: % Change from 2019], MATCH(B17, BudgetApprop_Data[CFDA], 0)), "")</f>
        <v>-1</v>
      </c>
      <c r="F17" s="36">
        <f t="shared" si="0"/>
        <v>-260979</v>
      </c>
      <c r="G17" s="46">
        <f>IFERROR(INDEX(BudgetApprop_Data[House: % Change from 2019], MATCH(FPWA_HelperTable[[#This Row],[CFDA]], BudgetApprop_Data[CFDA], 0)), "")</f>
        <v>4.8275862068965517E-2</v>
      </c>
      <c r="H17" s="36">
        <f t="shared" si="1"/>
        <v>12598.986206896552</v>
      </c>
      <c r="I17" s="35">
        <f>IF(B17 = "", "", IF(FPWA_HelperTable[[#This Row],[President $ Change]]&lt;&gt;"", RANK(F17, $F$6:$F$262)+COUNTIF($F$6:F17, F17)-1, 0))</f>
        <v>10</v>
      </c>
      <c r="J17" s="35" t="str">
        <f>IFERROR((IF(I17= 0, COUNTIF($I$6:I17, 0), "")+MAX($I$6:$I$262)), "")</f>
        <v/>
      </c>
      <c r="K17" s="35">
        <f t="shared" si="2"/>
        <v>10</v>
      </c>
      <c r="L17" s="33"/>
      <c r="M17" s="33"/>
      <c r="N17" s="34">
        <v>12</v>
      </c>
      <c r="O17" s="33">
        <f t="shared" si="3"/>
        <v>17.234999999999999</v>
      </c>
      <c r="P17" s="33"/>
    </row>
    <row r="18" spans="2:16" x14ac:dyDescent="0.25">
      <c r="B18" s="35">
        <f>IF(Control!$O21="","",INDEX(MemberOrg_Data[CFDA], Control!$O21))</f>
        <v>93.575000000000003</v>
      </c>
      <c r="C18" s="35" t="str">
        <f t="array" ref="C18">IFERROR(INDEX(MemberOrg_Data[FEDERALPROGRAMNAME], MATCH(1, (SelectMemberOrg = MemberOrg_Data[Auditee Name])*(B18 = MemberOrg_Data[CFDA]), 0)), "")</f>
        <v>CHILD CARE AND DEVELOPMENT BLOCK GRANT</v>
      </c>
      <c r="D18" s="36">
        <f>IFERROR(IF(B18 &lt;&gt; "", SUMIFS(MemberOrg_Data[Total Amount], MemberOrg_Data[Auditee Name], SelectMemberOrg, MemberOrg_Data[CFDA], B18), ""), "")</f>
        <v>1749313</v>
      </c>
      <c r="E18" s="37">
        <f>IFERROR(INDEX(BudgetApprop_Data[President: % Change from 2019], MATCH(B18, BudgetApprop_Data[CFDA], 0)), "")</f>
        <v>0</v>
      </c>
      <c r="F18" s="36">
        <f t="shared" si="0"/>
        <v>0</v>
      </c>
      <c r="G18" s="46">
        <f>IFERROR(INDEX(BudgetApprop_Data[House: % Change from 2019], MATCH(FPWA_HelperTable[[#This Row],[CFDA]], BudgetApprop_Data[CFDA], 0)), "")</f>
        <v>0.45489006823351025</v>
      </c>
      <c r="H18" s="36">
        <f t="shared" si="1"/>
        <v>795745.10993176652</v>
      </c>
      <c r="I18" s="35">
        <f>IF(B18 = "", "", IF(FPWA_HelperTable[[#This Row],[President $ Change]]&lt;&gt;"", RANK(F18, $F$6:$F$262)+COUNTIF($F$6:F18, F18)-1, 0))</f>
        <v>5</v>
      </c>
      <c r="J18" s="35" t="str">
        <f>IFERROR((IF(I18= 0, COUNTIF($I$6:I18, 0), "")+MAX($I$6:$I$262)), "")</f>
        <v/>
      </c>
      <c r="K18" s="35">
        <f t="shared" si="2"/>
        <v>5</v>
      </c>
      <c r="L18" s="33"/>
      <c r="M18" s="33"/>
      <c r="N18" s="34">
        <v>13</v>
      </c>
      <c r="O18" s="33">
        <f t="shared" si="3"/>
        <v>93.091999999999999</v>
      </c>
      <c r="P18" s="33"/>
    </row>
    <row r="19" spans="2:16" x14ac:dyDescent="0.25">
      <c r="B19" s="35">
        <f>IF(Control!$O22="","",INDEX(MemberOrg_Data[CFDA], Control!$O22))</f>
        <v>93.667000000000002</v>
      </c>
      <c r="C19" s="35" t="str">
        <f t="array" ref="C19">IFERROR(INDEX(MemberOrg_Data[FEDERALPROGRAMNAME], MATCH(1, (SelectMemberOrg = MemberOrg_Data[Auditee Name])*(B19 = MemberOrg_Data[CFDA]), 0)), "")</f>
        <v>SOCIAL SERVICES BLOCK GRANT</v>
      </c>
      <c r="D19" s="36">
        <f>IFERROR(IF(B19 &lt;&gt; "", SUMIFS(MemberOrg_Data[Total Amount], MemberOrg_Data[Auditee Name], SelectMemberOrg, MemberOrg_Data[CFDA], B19), ""), "")</f>
        <v>369621</v>
      </c>
      <c r="E19" s="37">
        <f>IFERROR(INDEX(BudgetApprop_Data[President: % Change from 2019], MATCH(B19, BudgetApprop_Data[CFDA], 0)), "")</f>
        <v>-1</v>
      </c>
      <c r="F19" s="36">
        <f t="shared" si="0"/>
        <v>-369621</v>
      </c>
      <c r="G19" s="46">
        <f>IFERROR(INDEX(BudgetApprop_Data[House: % Change from 2019], MATCH(FPWA_HelperTable[[#This Row],[CFDA]], BudgetApprop_Data[CFDA], 0)), "")</f>
        <v>3.134796238244514E-3</v>
      </c>
      <c r="H19" s="36">
        <f t="shared" si="1"/>
        <v>1158.6865203761754</v>
      </c>
      <c r="I19" s="35">
        <f>IF(B19 = "", "", IF(FPWA_HelperTable[[#This Row],[President $ Change]]&lt;&gt;"", RANK(F19, $F$6:$F$262)+COUNTIF($F$6:F19, F19)-1, 0))</f>
        <v>11</v>
      </c>
      <c r="J19" s="35" t="str">
        <f>IFERROR((IF(I19= 0, COUNTIF($I$6:I19, 0), "")+MAX($I$6:$I$262)), "")</f>
        <v/>
      </c>
      <c r="K19" s="35">
        <f t="shared" si="2"/>
        <v>11</v>
      </c>
      <c r="L19" s="33"/>
      <c r="M19" s="33"/>
      <c r="N19" s="34">
        <v>14</v>
      </c>
      <c r="O19" s="33">
        <f t="shared" si="3"/>
        <v>93.331000000000003</v>
      </c>
      <c r="P19" s="33"/>
    </row>
    <row r="20" spans="2:16" x14ac:dyDescent="0.25">
      <c r="B20" s="35">
        <f>IF(Control!$O23="","",INDEX(MemberOrg_Data[CFDA], Control!$O23))</f>
        <v>93.866</v>
      </c>
      <c r="C20" s="35" t="str">
        <f t="array" ref="C20">IFERROR(INDEX(MemberOrg_Data[FEDERALPROGRAMNAME], MATCH(1, (SelectMemberOrg = MemberOrg_Data[Auditee Name])*(B20 = MemberOrg_Data[CFDA]), 0)), "")</f>
        <v>AGING RESEARCH</v>
      </c>
      <c r="D20" s="36">
        <f>IFERROR(IF(B20 &lt;&gt; "", SUMIFS(MemberOrg_Data[Total Amount], MemberOrg_Data[Auditee Name], SelectMemberOrg, MemberOrg_Data[CFDA], B20), ""), "")</f>
        <v>3470</v>
      </c>
      <c r="E20" s="37" t="str">
        <f>IFERROR(INDEX(BudgetApprop_Data[President: % Change from 2019], MATCH(B20, BudgetApprop_Data[CFDA], 0)), "")</f>
        <v/>
      </c>
      <c r="F20" s="36" t="str">
        <f t="shared" si="0"/>
        <v/>
      </c>
      <c r="G20" s="46" t="str">
        <f>IFERROR(INDEX(BudgetApprop_Data[House: % Change from 2019], MATCH(FPWA_HelperTable[[#This Row],[CFDA]], BudgetApprop_Data[CFDA], 0)), "")</f>
        <v/>
      </c>
      <c r="H20" s="36" t="str">
        <f t="shared" si="1"/>
        <v/>
      </c>
      <c r="I20" s="35">
        <f>IF(B20 = "", "", IF(FPWA_HelperTable[[#This Row],[President $ Change]]&lt;&gt;"", RANK(F20, $F$6:$F$262)+COUNTIF($F$6:F20, F20)-1, 0))</f>
        <v>0</v>
      </c>
      <c r="J20" s="35">
        <f>IFERROR((IF(I20= 0, COUNTIF($I$6:I20, 0), "")+MAX($I$6:$I$262)), "")</f>
        <v>15</v>
      </c>
      <c r="K20" s="35">
        <f t="shared" si="2"/>
        <v>15</v>
      </c>
      <c r="L20" s="33"/>
      <c r="M20" s="33"/>
      <c r="N20" s="34">
        <v>15</v>
      </c>
      <c r="O20" s="33">
        <f t="shared" si="3"/>
        <v>93.866</v>
      </c>
      <c r="P20" s="33"/>
    </row>
    <row r="21" spans="2:16" x14ac:dyDescent="0.25">
      <c r="B21" s="35" t="str">
        <f>IF(Control!$O24="","",INDEX(MemberOrg_Data[CFDA], Control!$O24))</f>
        <v/>
      </c>
      <c r="C21" s="35" t="str">
        <f t="array" ref="C21">IFERROR(INDEX(MemberOrg_Data[FEDERALPROGRAMNAME], MATCH(1, (SelectMemberOrg = MemberOrg_Data[Auditee Name])*(B21 = MemberOrg_Data[CFDA]), 0)), "")</f>
        <v/>
      </c>
      <c r="D21" s="36" t="str">
        <f>IFERROR(IF(B21 &lt;&gt; "", SUMIFS(MemberOrg_Data[Total Amount], MemberOrg_Data[Auditee Name], SelectMemberOrg, MemberOrg_Data[CFDA], B21), ""), "")</f>
        <v/>
      </c>
      <c r="E21" s="37" t="str">
        <f>IFERROR(INDEX(BudgetApprop_Data[President: % Change from 2019], MATCH(B21, BudgetApprop_Data[CFDA], 0)), "")</f>
        <v/>
      </c>
      <c r="F21" s="36" t="str">
        <f t="shared" si="0"/>
        <v/>
      </c>
      <c r="G21" s="46" t="str">
        <f>IFERROR(INDEX(BudgetApprop_Data[House: % Change from 2019], MATCH(FPWA_HelperTable[[#This Row],[CFDA]], BudgetApprop_Data[CFDA], 0)), "")</f>
        <v/>
      </c>
      <c r="H21" s="36" t="str">
        <f t="shared" si="1"/>
        <v/>
      </c>
      <c r="I21" s="35" t="str">
        <f>IF(B21 = "", "", IF(FPWA_HelperTable[[#This Row],[President $ Change]]&lt;&gt;"", RANK(F21, $F$6:$F$262)+COUNTIF($F$6:F21, F21)-1, 0))</f>
        <v/>
      </c>
      <c r="J21" s="35" t="str">
        <f>IFERROR((IF(I21= 0, COUNTIF($I$6:I21, 0), "")+MAX($I$6:$I$262)), "")</f>
        <v/>
      </c>
      <c r="K21" s="35" t="str">
        <f t="shared" si="2"/>
        <v/>
      </c>
      <c r="N21" s="34">
        <v>16</v>
      </c>
      <c r="O21" s="33" t="str">
        <f t="shared" si="3"/>
        <v/>
      </c>
    </row>
    <row r="22" spans="2:16" x14ac:dyDescent="0.25">
      <c r="B22" s="35" t="str">
        <f>IF(Control!$O25="","",INDEX(MemberOrg_Data[CFDA], Control!$O25))</f>
        <v/>
      </c>
      <c r="C22" s="35" t="str">
        <f t="array" ref="C22">IFERROR(INDEX(MemberOrg_Data[FEDERALPROGRAMNAME], MATCH(1, (SelectMemberOrg = MemberOrg_Data[Auditee Name])*(B22 = MemberOrg_Data[CFDA]), 0)), "")</f>
        <v/>
      </c>
      <c r="D22" s="36" t="str">
        <f>IFERROR(IF(B22 &lt;&gt; "", SUMIFS(MemberOrg_Data[Total Amount], MemberOrg_Data[Auditee Name], SelectMemberOrg, MemberOrg_Data[CFDA], B22), ""), "")</f>
        <v/>
      </c>
      <c r="E22" s="37" t="str">
        <f>IFERROR(INDEX(BudgetApprop_Data[President: % Change from 2019], MATCH(B22, BudgetApprop_Data[CFDA], 0)), "")</f>
        <v/>
      </c>
      <c r="F22" s="36" t="str">
        <f t="shared" si="0"/>
        <v/>
      </c>
      <c r="G22" s="46" t="str">
        <f>IFERROR(INDEX(BudgetApprop_Data[House: % Change from 2019], MATCH(FPWA_HelperTable[[#This Row],[CFDA]], BudgetApprop_Data[CFDA], 0)), "")</f>
        <v/>
      </c>
      <c r="H22" s="36" t="str">
        <f t="shared" si="1"/>
        <v/>
      </c>
      <c r="I22" s="35" t="str">
        <f>IF(B22 = "", "", IF(FPWA_HelperTable[[#This Row],[President $ Change]]&lt;&gt;"", RANK(F22, $F$6:$F$262)+COUNTIF($F$6:F22, F22)-1, 0))</f>
        <v/>
      </c>
      <c r="J22" s="35" t="str">
        <f>IFERROR((IF(I22= 0, COUNTIF($I$6:I22, 0), "")+MAX($I$6:$I$262)), "")</f>
        <v/>
      </c>
      <c r="K22" s="35" t="str">
        <f t="shared" si="2"/>
        <v/>
      </c>
      <c r="N22" s="34">
        <v>17</v>
      </c>
      <c r="O22" s="33" t="str">
        <f t="shared" si="3"/>
        <v/>
      </c>
    </row>
    <row r="23" spans="2:16" x14ac:dyDescent="0.25">
      <c r="B23" s="35" t="str">
        <f>IF(Control!$O26="","",INDEX(MemberOrg_Data[CFDA], Control!$O26))</f>
        <v/>
      </c>
      <c r="C23" s="35" t="str">
        <f t="array" ref="C23">IFERROR(INDEX(MemberOrg_Data[FEDERALPROGRAMNAME], MATCH(1, (SelectMemberOrg = MemberOrg_Data[Auditee Name])*(B23 = MemberOrg_Data[CFDA]), 0)), "")</f>
        <v/>
      </c>
      <c r="D23" s="36" t="str">
        <f>IFERROR(IF(B23 &lt;&gt; "", SUMIFS(MemberOrg_Data[Total Amount], MemberOrg_Data[Auditee Name], SelectMemberOrg, MemberOrg_Data[CFDA], B23), ""), "")</f>
        <v/>
      </c>
      <c r="E23" s="37" t="str">
        <f>IFERROR(INDEX(BudgetApprop_Data[President: % Change from 2019], MATCH(B23, BudgetApprop_Data[CFDA], 0)), "")</f>
        <v/>
      </c>
      <c r="F23" s="36" t="str">
        <f t="shared" si="0"/>
        <v/>
      </c>
      <c r="G23" s="46" t="str">
        <f>IFERROR(INDEX(BudgetApprop_Data[House: % Change from 2019], MATCH(FPWA_HelperTable[[#This Row],[CFDA]], BudgetApprop_Data[CFDA], 0)), "")</f>
        <v/>
      </c>
      <c r="H23" s="36" t="str">
        <f t="shared" si="1"/>
        <v/>
      </c>
      <c r="I23" s="35" t="str">
        <f>IF(B23 = "", "", IF(FPWA_HelperTable[[#This Row],[President $ Change]]&lt;&gt;"", RANK(F23, $F$6:$F$262)+COUNTIF($F$6:F23, F23)-1, 0))</f>
        <v/>
      </c>
      <c r="J23" s="35" t="str">
        <f>IFERROR((IF(I23= 0, COUNTIF($I$6:I23, 0), "")+MAX($I$6:$I$262)), "")</f>
        <v/>
      </c>
      <c r="K23" s="35" t="str">
        <f t="shared" si="2"/>
        <v/>
      </c>
      <c r="N23" s="34">
        <v>18</v>
      </c>
      <c r="O23" s="33" t="str">
        <f t="shared" si="3"/>
        <v/>
      </c>
    </row>
    <row r="24" spans="2:16" x14ac:dyDescent="0.25">
      <c r="B24" s="35" t="str">
        <f>IF(Control!$O27="","",INDEX(MemberOrg_Data[CFDA], Control!$O27))</f>
        <v/>
      </c>
      <c r="C24" s="35" t="str">
        <f t="array" ref="C24">IFERROR(INDEX(MemberOrg_Data[FEDERALPROGRAMNAME], MATCH(1, (SelectMemberOrg = MemberOrg_Data[Auditee Name])*(B24 = MemberOrg_Data[CFDA]), 0)), "")</f>
        <v/>
      </c>
      <c r="D24" s="36" t="str">
        <f>IFERROR(IF(B24 &lt;&gt; "", SUMIFS(MemberOrg_Data[Total Amount], MemberOrg_Data[Auditee Name], SelectMemberOrg, MemberOrg_Data[CFDA], B24), ""), "")</f>
        <v/>
      </c>
      <c r="E24" s="37" t="str">
        <f>IFERROR(INDEX(BudgetApprop_Data[President: % Change from 2019], MATCH(B24, BudgetApprop_Data[CFDA], 0)), "")</f>
        <v/>
      </c>
      <c r="F24" s="36" t="str">
        <f t="shared" si="0"/>
        <v/>
      </c>
      <c r="G24" s="46" t="str">
        <f>IFERROR(INDEX(BudgetApprop_Data[House: % Change from 2019], MATCH(FPWA_HelperTable[[#This Row],[CFDA]], BudgetApprop_Data[CFDA], 0)), "")</f>
        <v/>
      </c>
      <c r="H24" s="36" t="str">
        <f t="shared" si="1"/>
        <v/>
      </c>
      <c r="I24" s="35" t="str">
        <f>IF(B24 = "", "", IF(FPWA_HelperTable[[#This Row],[President $ Change]]&lt;&gt;"", RANK(F24, $F$6:$F$262)+COUNTIF($F$6:F24, F24)-1, 0))</f>
        <v/>
      </c>
      <c r="J24" s="35" t="str">
        <f>IFERROR((IF(I24= 0, COUNTIF($I$6:I24, 0), "")+MAX($I$6:$I$262)), "")</f>
        <v/>
      </c>
      <c r="K24" s="35" t="str">
        <f t="shared" si="2"/>
        <v/>
      </c>
      <c r="N24" s="34">
        <v>19</v>
      </c>
      <c r="O24" s="33" t="str">
        <f t="shared" si="3"/>
        <v/>
      </c>
    </row>
    <row r="25" spans="2:16" x14ac:dyDescent="0.25">
      <c r="B25" s="35" t="str">
        <f>IF(Control!$O28="","",INDEX(MemberOrg_Data[CFDA], Control!$O28))</f>
        <v/>
      </c>
      <c r="C25" s="35" t="str">
        <f t="array" ref="C25">IFERROR(INDEX(MemberOrg_Data[FEDERALPROGRAMNAME], MATCH(1, (SelectMemberOrg = MemberOrg_Data[Auditee Name])*(B25 = MemberOrg_Data[CFDA]), 0)), "")</f>
        <v/>
      </c>
      <c r="D25" s="36" t="str">
        <f>IFERROR(IF(B25 &lt;&gt; "", SUMIFS(MemberOrg_Data[Total Amount], MemberOrg_Data[Auditee Name], SelectMemberOrg, MemberOrg_Data[CFDA], B25), ""), "")</f>
        <v/>
      </c>
      <c r="E25" s="37" t="str">
        <f>IFERROR(INDEX(BudgetApprop_Data[President: % Change from 2019], MATCH(B25, BudgetApprop_Data[CFDA], 0)), "")</f>
        <v/>
      </c>
      <c r="F25" s="36" t="str">
        <f t="shared" si="0"/>
        <v/>
      </c>
      <c r="G25" s="46" t="str">
        <f>IFERROR(INDEX(BudgetApprop_Data[House: % Change from 2019], MATCH(FPWA_HelperTable[[#This Row],[CFDA]], BudgetApprop_Data[CFDA], 0)), "")</f>
        <v/>
      </c>
      <c r="H25" s="36" t="str">
        <f t="shared" si="1"/>
        <v/>
      </c>
      <c r="I25" s="35" t="str">
        <f>IF(B25 = "", "", IF(FPWA_HelperTable[[#This Row],[President $ Change]]&lt;&gt;"", RANK(F25, $F$6:$F$262)+COUNTIF($F$6:F25, F25)-1, 0))</f>
        <v/>
      </c>
      <c r="J25" s="35" t="str">
        <f>IFERROR((IF(I25= 0, COUNTIF($I$6:I25, 0), "")+MAX($I$6:$I$262)), "")</f>
        <v/>
      </c>
      <c r="K25" s="35" t="str">
        <f t="shared" si="2"/>
        <v/>
      </c>
      <c r="N25" s="34">
        <v>20</v>
      </c>
      <c r="O25" s="33" t="str">
        <f t="shared" si="3"/>
        <v/>
      </c>
    </row>
    <row r="26" spans="2:16" x14ac:dyDescent="0.25">
      <c r="B26" s="35" t="str">
        <f>IF(Control!$O29="","",INDEX(MemberOrg_Data[CFDA], Control!$O29))</f>
        <v/>
      </c>
      <c r="C26" s="35" t="str">
        <f t="array" ref="C26">IFERROR(INDEX(MemberOrg_Data[FEDERALPROGRAMNAME], MATCH(1, (SelectMemberOrg = MemberOrg_Data[Auditee Name])*(B26 = MemberOrg_Data[CFDA]), 0)), "")</f>
        <v/>
      </c>
      <c r="D26" s="36" t="str">
        <f>IFERROR(IF(B26 &lt;&gt; "", SUMIFS(MemberOrg_Data[Total Amount], MemberOrg_Data[Auditee Name], SelectMemberOrg, MemberOrg_Data[CFDA], B26), ""), "")</f>
        <v/>
      </c>
      <c r="E26" s="37" t="str">
        <f>IFERROR(INDEX(BudgetApprop_Data[President: % Change from 2019], MATCH(B26, BudgetApprop_Data[CFDA], 0)), "")</f>
        <v/>
      </c>
      <c r="F26" s="36" t="str">
        <f t="shared" si="0"/>
        <v/>
      </c>
      <c r="G26" s="46" t="str">
        <f>IFERROR(INDEX(BudgetApprop_Data[House: % Change from 2019], MATCH(FPWA_HelperTable[[#This Row],[CFDA]], BudgetApprop_Data[CFDA], 0)), "")</f>
        <v/>
      </c>
      <c r="H26" s="36" t="str">
        <f t="shared" si="1"/>
        <v/>
      </c>
      <c r="I26" s="35" t="str">
        <f>IF(B26 = "", "", IF(FPWA_HelperTable[[#This Row],[President $ Change]]&lt;&gt;"", RANK(F26, $F$6:$F$262)+COUNTIF($F$6:F26, F26)-1, 0))</f>
        <v/>
      </c>
      <c r="J26" s="35" t="str">
        <f>IFERROR((IF(I26= 0, COUNTIF($I$6:I26, 0), "")+MAX($I$6:$I$262)), "")</f>
        <v/>
      </c>
      <c r="K26" s="35" t="str">
        <f t="shared" si="2"/>
        <v/>
      </c>
      <c r="N26" s="34">
        <v>21</v>
      </c>
      <c r="O26" s="33" t="str">
        <f t="shared" si="3"/>
        <v/>
      </c>
    </row>
    <row r="27" spans="2:16" x14ac:dyDescent="0.25">
      <c r="B27" s="35" t="str">
        <f>IF(Control!$O30="","",INDEX(MemberOrg_Data[CFDA], Control!$O30))</f>
        <v/>
      </c>
      <c r="C27" s="35" t="str">
        <f t="array" ref="C27">IFERROR(INDEX(MemberOrg_Data[FEDERALPROGRAMNAME], MATCH(1, (SelectMemberOrg = MemberOrg_Data[Auditee Name])*(B27 = MemberOrg_Data[CFDA]), 0)), "")</f>
        <v/>
      </c>
      <c r="D27" s="36" t="str">
        <f>IFERROR(IF(B27 &lt;&gt; "", SUMIFS(MemberOrg_Data[Total Amount], MemberOrg_Data[Auditee Name], SelectMemberOrg, MemberOrg_Data[CFDA], B27), ""), "")</f>
        <v/>
      </c>
      <c r="E27" s="37" t="str">
        <f>IFERROR(INDEX(BudgetApprop_Data[President: % Change from 2019], MATCH(B27, BudgetApprop_Data[CFDA], 0)), "")</f>
        <v/>
      </c>
      <c r="F27" s="36" t="str">
        <f t="shared" si="0"/>
        <v/>
      </c>
      <c r="G27" s="46" t="str">
        <f>IFERROR(INDEX(BudgetApprop_Data[House: % Change from 2019], MATCH(FPWA_HelperTable[[#This Row],[CFDA]], BudgetApprop_Data[CFDA], 0)), "")</f>
        <v/>
      </c>
      <c r="H27" s="36" t="str">
        <f t="shared" si="1"/>
        <v/>
      </c>
      <c r="I27" s="35" t="str">
        <f>IF(B27 = "", "", IF(FPWA_HelperTable[[#This Row],[President $ Change]]&lt;&gt;"", RANK(F27, $F$6:$F$262)+COUNTIF($F$6:F27, F27)-1, 0))</f>
        <v/>
      </c>
      <c r="J27" s="35" t="str">
        <f>IFERROR((IF(I27= 0, COUNTIF($I$6:I27, 0), "")+MAX($I$6:$I$262)), "")</f>
        <v/>
      </c>
      <c r="K27" s="35" t="str">
        <f t="shared" si="2"/>
        <v/>
      </c>
      <c r="N27" s="34">
        <v>22</v>
      </c>
      <c r="O27" s="33" t="str">
        <f t="shared" si="3"/>
        <v/>
      </c>
    </row>
    <row r="28" spans="2:16" x14ac:dyDescent="0.25">
      <c r="B28" s="35" t="str">
        <f>IF(Control!$O31="","",INDEX(MemberOrg_Data[CFDA], Control!$O31))</f>
        <v/>
      </c>
      <c r="C28" s="35" t="str">
        <f t="array" ref="C28">IFERROR(INDEX(MemberOrg_Data[FEDERALPROGRAMNAME], MATCH(1, (SelectMemberOrg = MemberOrg_Data[Auditee Name])*(B28 = MemberOrg_Data[CFDA]), 0)), "")</f>
        <v/>
      </c>
      <c r="D28" s="36" t="str">
        <f>IFERROR(IF(B28 &lt;&gt; "", SUMIFS(MemberOrg_Data[Total Amount], MemberOrg_Data[Auditee Name], SelectMemberOrg, MemberOrg_Data[CFDA], B28), ""), "")</f>
        <v/>
      </c>
      <c r="E28" s="37" t="str">
        <f>IFERROR(INDEX(BudgetApprop_Data[President: % Change from 2019], MATCH(B28, BudgetApprop_Data[CFDA], 0)), "")</f>
        <v/>
      </c>
      <c r="F28" s="36" t="str">
        <f t="shared" si="0"/>
        <v/>
      </c>
      <c r="G28" s="46" t="str">
        <f>IFERROR(INDEX(BudgetApprop_Data[House: % Change from 2019], MATCH(FPWA_HelperTable[[#This Row],[CFDA]], BudgetApprop_Data[CFDA], 0)), "")</f>
        <v/>
      </c>
      <c r="H28" s="36" t="str">
        <f t="shared" si="1"/>
        <v/>
      </c>
      <c r="I28" s="35" t="str">
        <f>IF(B28 = "", "", IF(FPWA_HelperTable[[#This Row],[President $ Change]]&lt;&gt;"", RANK(F28, $F$6:$F$262)+COUNTIF($F$6:F28, F28)-1, 0))</f>
        <v/>
      </c>
      <c r="J28" s="35" t="str">
        <f>IFERROR((IF(I28= 0, COUNTIF($I$6:I28, 0), "")+MAX($I$6:$I$262)), "")</f>
        <v/>
      </c>
      <c r="K28" s="35" t="str">
        <f t="shared" si="2"/>
        <v/>
      </c>
      <c r="N28" s="34">
        <v>23</v>
      </c>
      <c r="O28" s="33" t="str">
        <f t="shared" si="3"/>
        <v/>
      </c>
    </row>
    <row r="29" spans="2:16" x14ac:dyDescent="0.25">
      <c r="B29" s="35" t="str">
        <f>IF(Control!$O32="","",INDEX(MemberOrg_Data[CFDA], Control!$O32))</f>
        <v/>
      </c>
      <c r="C29" s="35" t="str">
        <f t="array" ref="C29">IFERROR(INDEX(MemberOrg_Data[FEDERALPROGRAMNAME], MATCH(1, (SelectMemberOrg = MemberOrg_Data[Auditee Name])*(B29 = MemberOrg_Data[CFDA]), 0)), "")</f>
        <v/>
      </c>
      <c r="D29" s="36" t="str">
        <f>IFERROR(IF(B29 &lt;&gt; "", SUMIFS(MemberOrg_Data[Total Amount], MemberOrg_Data[Auditee Name], SelectMemberOrg, MemberOrg_Data[CFDA], B29), ""), "")</f>
        <v/>
      </c>
      <c r="E29" s="37" t="str">
        <f>IFERROR(INDEX(BudgetApprop_Data[President: % Change from 2019], MATCH(B29, BudgetApprop_Data[CFDA], 0)), "")</f>
        <v/>
      </c>
      <c r="F29" s="36" t="str">
        <f t="shared" si="0"/>
        <v/>
      </c>
      <c r="G29" s="46" t="str">
        <f>IFERROR(INDEX(BudgetApprop_Data[House: % Change from 2019], MATCH(FPWA_HelperTable[[#This Row],[CFDA]], BudgetApprop_Data[CFDA], 0)), "")</f>
        <v/>
      </c>
      <c r="H29" s="36" t="str">
        <f t="shared" si="1"/>
        <v/>
      </c>
      <c r="I29" s="35" t="str">
        <f>IF(B29 = "", "", IF(FPWA_HelperTable[[#This Row],[President $ Change]]&lt;&gt;"", RANK(F29, $F$6:$F$262)+COUNTIF($F$6:F29, F29)-1, 0))</f>
        <v/>
      </c>
      <c r="J29" s="35" t="str">
        <f>IFERROR((IF(I29= 0, COUNTIF($I$6:I29, 0), "")+MAX($I$6:$I$262)), "")</f>
        <v/>
      </c>
      <c r="K29" s="35" t="str">
        <f t="shared" si="2"/>
        <v/>
      </c>
      <c r="N29" s="34">
        <v>24</v>
      </c>
      <c r="O29" s="33" t="str">
        <f t="shared" si="3"/>
        <v/>
      </c>
    </row>
    <row r="30" spans="2:16" x14ac:dyDescent="0.25">
      <c r="B30" s="35" t="str">
        <f>IF(Control!$O33="","",INDEX(MemberOrg_Data[CFDA], Control!$O33))</f>
        <v/>
      </c>
      <c r="C30" s="35" t="str">
        <f t="array" ref="C30">IFERROR(INDEX(MemberOrg_Data[FEDERALPROGRAMNAME], MATCH(1, (SelectMemberOrg = MemberOrg_Data[Auditee Name])*(B30 = MemberOrg_Data[CFDA]), 0)), "")</f>
        <v/>
      </c>
      <c r="D30" s="36" t="str">
        <f>IFERROR(IF(B30 &lt;&gt; "", SUMIFS(MemberOrg_Data[Total Amount], MemberOrg_Data[Auditee Name], SelectMemberOrg, MemberOrg_Data[CFDA], B30), ""), "")</f>
        <v/>
      </c>
      <c r="E30" s="37" t="str">
        <f>IFERROR(INDEX(BudgetApprop_Data[President: % Change from 2019], MATCH(B30, BudgetApprop_Data[CFDA], 0)), "")</f>
        <v/>
      </c>
      <c r="F30" s="36" t="str">
        <f t="shared" si="0"/>
        <v/>
      </c>
      <c r="G30" s="46" t="str">
        <f>IFERROR(INDEX(BudgetApprop_Data[House: % Change from 2019], MATCH(FPWA_HelperTable[[#This Row],[CFDA]], BudgetApprop_Data[CFDA], 0)), "")</f>
        <v/>
      </c>
      <c r="H30" s="36" t="str">
        <f t="shared" si="1"/>
        <v/>
      </c>
      <c r="I30" s="35" t="str">
        <f>IF(B30 = "", "", IF(FPWA_HelperTable[[#This Row],[President $ Change]]&lt;&gt;"", RANK(F30, $F$6:$F$262)+COUNTIF($F$6:F30, F30)-1, 0))</f>
        <v/>
      </c>
      <c r="J30" s="35" t="str">
        <f>IFERROR((IF(I30= 0, COUNTIF($I$6:I30, 0), "")+MAX($I$6:$I$262)), "")</f>
        <v/>
      </c>
      <c r="K30" s="35" t="str">
        <f t="shared" si="2"/>
        <v/>
      </c>
      <c r="N30" s="34">
        <v>25</v>
      </c>
      <c r="O30" s="33" t="str">
        <f t="shared" si="3"/>
        <v/>
      </c>
    </row>
    <row r="31" spans="2:16" x14ac:dyDescent="0.25">
      <c r="B31" s="35" t="str">
        <f>IF(Control!$O34="","",INDEX(MemberOrg_Data[CFDA], Control!$O34))</f>
        <v/>
      </c>
      <c r="C31" s="35" t="str">
        <f t="array" ref="C31">IFERROR(INDEX(MemberOrg_Data[FEDERALPROGRAMNAME], MATCH(1, (SelectMemberOrg = MemberOrg_Data[Auditee Name])*(B31 = MemberOrg_Data[CFDA]), 0)), "")</f>
        <v/>
      </c>
      <c r="D31" s="36" t="str">
        <f>IFERROR(IF(B31 &lt;&gt; "", SUMIFS(MemberOrg_Data[Total Amount], MemberOrg_Data[Auditee Name], SelectMemberOrg, MemberOrg_Data[CFDA], B31), ""), "")</f>
        <v/>
      </c>
      <c r="E31" s="37" t="str">
        <f>IFERROR(INDEX(BudgetApprop_Data[President: % Change from 2019], MATCH(B31, BudgetApprop_Data[CFDA], 0)), "")</f>
        <v/>
      </c>
      <c r="F31" s="36" t="str">
        <f t="shared" si="0"/>
        <v/>
      </c>
      <c r="G31" s="46" t="str">
        <f>IFERROR(INDEX(BudgetApprop_Data[House: % Change from 2019], MATCH(FPWA_HelperTable[[#This Row],[CFDA]], BudgetApprop_Data[CFDA], 0)), "")</f>
        <v/>
      </c>
      <c r="H31" s="36" t="str">
        <f t="shared" si="1"/>
        <v/>
      </c>
      <c r="I31" s="35" t="str">
        <f>IF(B31 = "", "", IF(FPWA_HelperTable[[#This Row],[President $ Change]]&lt;&gt;"", RANK(F31, $F$6:$F$262)+COUNTIF($F$6:F31, F31)-1, 0))</f>
        <v/>
      </c>
      <c r="J31" s="35" t="str">
        <f>IFERROR((IF(I31= 0, COUNTIF($I$6:I31, 0), "")+MAX($I$6:$I$262)), "")</f>
        <v/>
      </c>
      <c r="K31" s="35" t="str">
        <f t="shared" si="2"/>
        <v/>
      </c>
      <c r="N31" s="34">
        <v>26</v>
      </c>
      <c r="O31" s="33" t="str">
        <f t="shared" si="3"/>
        <v/>
      </c>
    </row>
    <row r="32" spans="2:16" x14ac:dyDescent="0.25">
      <c r="B32" s="35" t="str">
        <f>IF(Control!$O35="","",INDEX(MemberOrg_Data[CFDA], Control!$O35))</f>
        <v/>
      </c>
      <c r="C32" s="35" t="str">
        <f t="array" ref="C32">IFERROR(INDEX(MemberOrg_Data[FEDERALPROGRAMNAME], MATCH(1, (SelectMemberOrg = MemberOrg_Data[Auditee Name])*(B32 = MemberOrg_Data[CFDA]), 0)), "")</f>
        <v/>
      </c>
      <c r="D32" s="36" t="str">
        <f>IFERROR(IF(B32 &lt;&gt; "", SUMIFS(MemberOrg_Data[Total Amount], MemberOrg_Data[Auditee Name], SelectMemberOrg, MemberOrg_Data[CFDA], B32), ""), "")</f>
        <v/>
      </c>
      <c r="E32" s="37" t="str">
        <f>IFERROR(INDEX(BudgetApprop_Data[President: % Change from 2019], MATCH(B32, BudgetApprop_Data[CFDA], 0)), "")</f>
        <v/>
      </c>
      <c r="F32" s="36" t="str">
        <f t="shared" si="0"/>
        <v/>
      </c>
      <c r="G32" s="46" t="str">
        <f>IFERROR(INDEX(BudgetApprop_Data[House: % Change from 2019], MATCH(FPWA_HelperTable[[#This Row],[CFDA]], BudgetApprop_Data[CFDA], 0)), "")</f>
        <v/>
      </c>
      <c r="H32" s="36" t="str">
        <f t="shared" si="1"/>
        <v/>
      </c>
      <c r="I32" s="35" t="str">
        <f>IF(B32 = "", "", IF(FPWA_HelperTable[[#This Row],[President $ Change]]&lt;&gt;"", RANK(F32, $F$6:$F$262)+COUNTIF($F$6:F32, F32)-1, 0))</f>
        <v/>
      </c>
      <c r="J32" s="35" t="str">
        <f>IFERROR((IF(I32= 0, COUNTIF($I$6:I32, 0), "")+MAX($I$6:$I$262)), "")</f>
        <v/>
      </c>
      <c r="K32" s="35" t="str">
        <f t="shared" si="2"/>
        <v/>
      </c>
      <c r="N32" s="34">
        <v>27</v>
      </c>
      <c r="O32" s="33" t="str">
        <f t="shared" si="3"/>
        <v/>
      </c>
    </row>
    <row r="33" spans="2:15" x14ac:dyDescent="0.25">
      <c r="B33" s="35" t="str">
        <f>IF(Control!$O36="","",INDEX(MemberOrg_Data[CFDA], Control!$O36))</f>
        <v/>
      </c>
      <c r="C33" s="35" t="str">
        <f t="array" ref="C33">IFERROR(INDEX(MemberOrg_Data[FEDERALPROGRAMNAME], MATCH(1, (SelectMemberOrg = MemberOrg_Data[Auditee Name])*(B33 = MemberOrg_Data[CFDA]), 0)), "")</f>
        <v/>
      </c>
      <c r="D33" s="36" t="str">
        <f>IFERROR(IF(B33 &lt;&gt; "", SUMIFS(MemberOrg_Data[Total Amount], MemberOrg_Data[Auditee Name], SelectMemberOrg, MemberOrg_Data[CFDA], B33), ""), "")</f>
        <v/>
      </c>
      <c r="E33" s="37" t="str">
        <f>IFERROR(INDEX(BudgetApprop_Data[President: % Change from 2019], MATCH(B33, BudgetApprop_Data[CFDA], 0)), "")</f>
        <v/>
      </c>
      <c r="F33" s="36" t="str">
        <f t="shared" si="0"/>
        <v/>
      </c>
      <c r="G33" s="46" t="str">
        <f>IFERROR(INDEX(BudgetApprop_Data[House: % Change from 2019], MATCH(FPWA_HelperTable[[#This Row],[CFDA]], BudgetApprop_Data[CFDA], 0)), "")</f>
        <v/>
      </c>
      <c r="H33" s="36" t="str">
        <f t="shared" si="1"/>
        <v/>
      </c>
      <c r="I33" s="35" t="str">
        <f>IF(B33 = "", "", IF(FPWA_HelperTable[[#This Row],[President $ Change]]&lt;&gt;"", RANK(F33, $F$6:$F$262)+COUNTIF($F$6:F33, F33)-1, 0))</f>
        <v/>
      </c>
      <c r="J33" s="35" t="str">
        <f>IFERROR((IF(I33= 0, COUNTIF($I$6:I33, 0), "")+MAX($I$6:$I$262)), "")</f>
        <v/>
      </c>
      <c r="K33" s="35" t="str">
        <f t="shared" si="2"/>
        <v/>
      </c>
      <c r="N33" s="34">
        <v>28</v>
      </c>
      <c r="O33" s="33" t="str">
        <f t="shared" si="3"/>
        <v/>
      </c>
    </row>
    <row r="34" spans="2:15" x14ac:dyDescent="0.25">
      <c r="B34" s="35" t="str">
        <f>IF(Control!$O37="","",INDEX(MemberOrg_Data[CFDA], Control!$O37))</f>
        <v/>
      </c>
      <c r="C34" s="35" t="str">
        <f t="array" ref="C34">IFERROR(INDEX(MemberOrg_Data[FEDERALPROGRAMNAME], MATCH(1, (SelectMemberOrg = MemberOrg_Data[Auditee Name])*(B34 = MemberOrg_Data[CFDA]), 0)), "")</f>
        <v/>
      </c>
      <c r="D34" s="36" t="str">
        <f>IFERROR(IF(B34 &lt;&gt; "", SUMIFS(MemberOrg_Data[Total Amount], MemberOrg_Data[Auditee Name], SelectMemberOrg, MemberOrg_Data[CFDA], B34), ""), "")</f>
        <v/>
      </c>
      <c r="E34" s="37" t="str">
        <f>IFERROR(INDEX(BudgetApprop_Data[President: % Change from 2019], MATCH(B34, BudgetApprop_Data[CFDA], 0)), "")</f>
        <v/>
      </c>
      <c r="F34" s="36" t="str">
        <f t="shared" si="0"/>
        <v/>
      </c>
      <c r="G34" s="46" t="str">
        <f>IFERROR(INDEX(BudgetApprop_Data[House: % Change from 2019], MATCH(FPWA_HelperTable[[#This Row],[CFDA]], BudgetApprop_Data[CFDA], 0)), "")</f>
        <v/>
      </c>
      <c r="H34" s="36" t="str">
        <f t="shared" si="1"/>
        <v/>
      </c>
      <c r="I34" s="35" t="str">
        <f>IF(B34 = "", "", IF(FPWA_HelperTable[[#This Row],[President $ Change]]&lt;&gt;"", RANK(F34, $F$6:$F$262)+COUNTIF($F$6:F34, F34)-1, 0))</f>
        <v/>
      </c>
      <c r="J34" s="35" t="str">
        <f>IFERROR((IF(I34= 0, COUNTIF($I$6:I34, 0), "")+MAX($I$6:$I$262)), "")</f>
        <v/>
      </c>
      <c r="K34" s="35" t="str">
        <f t="shared" si="2"/>
        <v/>
      </c>
      <c r="N34" s="34">
        <v>29</v>
      </c>
      <c r="O34" s="33" t="str">
        <f t="shared" si="3"/>
        <v/>
      </c>
    </row>
    <row r="35" spans="2:15" x14ac:dyDescent="0.25">
      <c r="B35" s="35" t="str">
        <f>IF(Control!$O38="","",INDEX(MemberOrg_Data[CFDA], Control!$O38))</f>
        <v/>
      </c>
      <c r="C35" s="35" t="str">
        <f t="array" ref="C35">IFERROR(INDEX(MemberOrg_Data[FEDERALPROGRAMNAME], MATCH(1, (SelectMemberOrg = MemberOrg_Data[Auditee Name])*(B35 = MemberOrg_Data[CFDA]), 0)), "")</f>
        <v/>
      </c>
      <c r="D35" s="36" t="str">
        <f>IFERROR(IF(B35 &lt;&gt; "", SUMIFS(MemberOrg_Data[Total Amount], MemberOrg_Data[Auditee Name], SelectMemberOrg, MemberOrg_Data[CFDA], B35), ""), "")</f>
        <v/>
      </c>
      <c r="E35" s="37" t="str">
        <f>IFERROR(INDEX(BudgetApprop_Data[President: % Change from 2019], MATCH(B35, BudgetApprop_Data[CFDA], 0)), "")</f>
        <v/>
      </c>
      <c r="F35" s="36" t="str">
        <f t="shared" si="0"/>
        <v/>
      </c>
      <c r="G35" s="46" t="str">
        <f>IFERROR(INDEX(BudgetApprop_Data[House: % Change from 2019], MATCH(FPWA_HelperTable[[#This Row],[CFDA]], BudgetApprop_Data[CFDA], 0)), "")</f>
        <v/>
      </c>
      <c r="H35" s="36" t="str">
        <f t="shared" si="1"/>
        <v/>
      </c>
      <c r="I35" s="35" t="str">
        <f>IF(B35 = "", "", IF(FPWA_HelperTable[[#This Row],[President $ Change]]&lt;&gt;"", RANK(F35, $F$6:$F$262)+COUNTIF($F$6:F35, F35)-1, 0))</f>
        <v/>
      </c>
      <c r="J35" s="35" t="str">
        <f>IFERROR((IF(I35= 0, COUNTIF($I$6:I35, 0), "")+MAX($I$6:$I$262)), "")</f>
        <v/>
      </c>
      <c r="K35" s="35" t="str">
        <f t="shared" si="2"/>
        <v/>
      </c>
      <c r="N35" s="34">
        <v>30</v>
      </c>
      <c r="O35" s="33" t="str">
        <f t="shared" si="3"/>
        <v/>
      </c>
    </row>
    <row r="36" spans="2:15" x14ac:dyDescent="0.25">
      <c r="B36" s="35" t="str">
        <f>IF(Control!$O39="","",INDEX(MemberOrg_Data[CFDA], Control!$O39))</f>
        <v/>
      </c>
      <c r="C36" s="35" t="str">
        <f t="array" ref="C36">IFERROR(INDEX(MemberOrg_Data[FEDERALPROGRAMNAME], MATCH(1, (SelectMemberOrg = MemberOrg_Data[Auditee Name])*(B36 = MemberOrg_Data[CFDA]), 0)), "")</f>
        <v/>
      </c>
      <c r="D36" s="36" t="str">
        <f>IFERROR(IF(B36 &lt;&gt; "", SUMIFS(MemberOrg_Data[Total Amount], MemberOrg_Data[Auditee Name], SelectMemberOrg, MemberOrg_Data[CFDA], B36), ""), "")</f>
        <v/>
      </c>
      <c r="E36" s="37" t="str">
        <f>IFERROR(INDEX(BudgetApprop_Data[President: % Change from 2019], MATCH(B36, BudgetApprop_Data[CFDA], 0)), "")</f>
        <v/>
      </c>
      <c r="F36" s="36" t="str">
        <f t="shared" si="0"/>
        <v/>
      </c>
      <c r="G36" s="46" t="str">
        <f>IFERROR(INDEX(BudgetApprop_Data[House: % Change from 2019], MATCH(FPWA_HelperTable[[#This Row],[CFDA]], BudgetApprop_Data[CFDA], 0)), "")</f>
        <v/>
      </c>
      <c r="H36" s="36" t="str">
        <f t="shared" si="1"/>
        <v/>
      </c>
      <c r="I36" s="35" t="str">
        <f>IF(B36 = "", "", IF(FPWA_HelperTable[[#This Row],[President $ Change]]&lt;&gt;"", RANK(F36, $F$6:$F$262)+COUNTIF($F$6:F36, F36)-1, 0))</f>
        <v/>
      </c>
      <c r="J36" s="35" t="str">
        <f>IFERROR((IF(I36= 0, COUNTIF($I$6:I36, 0), "")+MAX($I$6:$I$262)), "")</f>
        <v/>
      </c>
      <c r="K36" s="35" t="str">
        <f t="shared" si="2"/>
        <v/>
      </c>
      <c r="N36" s="34">
        <v>31</v>
      </c>
      <c r="O36" s="33" t="str">
        <f t="shared" si="3"/>
        <v/>
      </c>
    </row>
    <row r="37" spans="2:15" x14ac:dyDescent="0.25">
      <c r="B37" s="35" t="str">
        <f>IF(Control!$O40="","",INDEX(MemberOrg_Data[CFDA], Control!$O40))</f>
        <v/>
      </c>
      <c r="C37" s="35" t="str">
        <f t="array" ref="C37">IFERROR(INDEX(MemberOrg_Data[FEDERALPROGRAMNAME], MATCH(1, (SelectMemberOrg = MemberOrg_Data[Auditee Name])*(B37 = MemberOrg_Data[CFDA]), 0)), "")</f>
        <v/>
      </c>
      <c r="D37" s="36" t="str">
        <f>IFERROR(IF(B37 &lt;&gt; "", SUMIFS(MemberOrg_Data[Total Amount], MemberOrg_Data[Auditee Name], SelectMemberOrg, MemberOrg_Data[CFDA], B37), ""), "")</f>
        <v/>
      </c>
      <c r="E37" s="37" t="str">
        <f>IFERROR(INDEX(BudgetApprop_Data[President: % Change from 2019], MATCH(B37, BudgetApprop_Data[CFDA], 0)), "")</f>
        <v/>
      </c>
      <c r="F37" s="36" t="str">
        <f t="shared" si="0"/>
        <v/>
      </c>
      <c r="G37" s="46" t="str">
        <f>IFERROR(INDEX(BudgetApprop_Data[House: % Change from 2019], MATCH(FPWA_HelperTable[[#This Row],[CFDA]], BudgetApprop_Data[CFDA], 0)), "")</f>
        <v/>
      </c>
      <c r="H37" s="36" t="str">
        <f t="shared" si="1"/>
        <v/>
      </c>
      <c r="I37" s="35" t="str">
        <f>IF(B37 = "", "", IF(FPWA_HelperTable[[#This Row],[President $ Change]]&lt;&gt;"", RANK(F37, $F$6:$F$262)+COUNTIF($F$6:F37, F37)-1, 0))</f>
        <v/>
      </c>
      <c r="J37" s="35" t="str">
        <f>IFERROR((IF(I37= 0, COUNTIF($I$6:I37, 0), "")+MAX($I$6:$I$262)), "")</f>
        <v/>
      </c>
      <c r="K37" s="35" t="str">
        <f t="shared" si="2"/>
        <v/>
      </c>
      <c r="N37" s="34">
        <v>32</v>
      </c>
      <c r="O37" s="33" t="str">
        <f t="shared" si="3"/>
        <v/>
      </c>
    </row>
    <row r="38" spans="2:15" x14ac:dyDescent="0.25">
      <c r="B38" s="35" t="str">
        <f>IF(Control!$O41="","",INDEX(MemberOrg_Data[CFDA], Control!$O41))</f>
        <v/>
      </c>
      <c r="C38" s="35" t="str">
        <f t="array" ref="C38">IFERROR(INDEX(MemberOrg_Data[FEDERALPROGRAMNAME], MATCH(1, (SelectMemberOrg = MemberOrg_Data[Auditee Name])*(B38 = MemberOrg_Data[CFDA]), 0)), "")</f>
        <v/>
      </c>
      <c r="D38" s="36" t="str">
        <f>IFERROR(IF(B38 &lt;&gt; "", SUMIFS(MemberOrg_Data[Total Amount], MemberOrg_Data[Auditee Name], SelectMemberOrg, MemberOrg_Data[CFDA], B38), ""), "")</f>
        <v/>
      </c>
      <c r="E38" s="37" t="str">
        <f>IFERROR(INDEX(BudgetApprop_Data[President: % Change from 2019], MATCH(B38, BudgetApprop_Data[CFDA], 0)), "")</f>
        <v/>
      </c>
      <c r="F38" s="36" t="str">
        <f t="shared" si="0"/>
        <v/>
      </c>
      <c r="G38" s="46" t="str">
        <f>IFERROR(INDEX(BudgetApprop_Data[House: % Change from 2019], MATCH(FPWA_HelperTable[[#This Row],[CFDA]], BudgetApprop_Data[CFDA], 0)), "")</f>
        <v/>
      </c>
      <c r="H38" s="36" t="str">
        <f t="shared" si="1"/>
        <v/>
      </c>
      <c r="I38" s="35" t="str">
        <f>IF(B38 = "", "", IF(FPWA_HelperTable[[#This Row],[President $ Change]]&lt;&gt;"", RANK(F38, $F$6:$F$262)+COUNTIF($F$6:F38, F38)-1, 0))</f>
        <v/>
      </c>
      <c r="J38" s="35" t="str">
        <f>IFERROR((IF(I38= 0, COUNTIF($I$6:I38, 0), "")+MAX($I$6:$I$262)), "")</f>
        <v/>
      </c>
      <c r="K38" s="35" t="str">
        <f t="shared" si="2"/>
        <v/>
      </c>
      <c r="N38" s="34">
        <v>33</v>
      </c>
      <c r="O38" s="33" t="str">
        <f t="shared" si="3"/>
        <v/>
      </c>
    </row>
    <row r="39" spans="2:15" x14ac:dyDescent="0.25">
      <c r="B39" s="35" t="str">
        <f>IF(Control!$O42="","",INDEX(MemberOrg_Data[CFDA], Control!$O42))</f>
        <v/>
      </c>
      <c r="C39" s="35" t="str">
        <f t="array" ref="C39">IFERROR(INDEX(MemberOrg_Data[FEDERALPROGRAMNAME], MATCH(1, (SelectMemberOrg = MemberOrg_Data[Auditee Name])*(B39 = MemberOrg_Data[CFDA]), 0)), "")</f>
        <v/>
      </c>
      <c r="D39" s="36" t="str">
        <f>IFERROR(IF(B39 &lt;&gt; "", SUMIFS(MemberOrg_Data[Total Amount], MemberOrg_Data[Auditee Name], SelectMemberOrg, MemberOrg_Data[CFDA], B39), ""), "")</f>
        <v/>
      </c>
      <c r="E39" s="37" t="str">
        <f>IFERROR(INDEX(BudgetApprop_Data[President: % Change from 2019], MATCH(B39, BudgetApprop_Data[CFDA], 0)), "")</f>
        <v/>
      </c>
      <c r="F39" s="36" t="str">
        <f t="shared" si="0"/>
        <v/>
      </c>
      <c r="G39" s="46" t="str">
        <f>IFERROR(INDEX(BudgetApprop_Data[House: % Change from 2019], MATCH(FPWA_HelperTable[[#This Row],[CFDA]], BudgetApprop_Data[CFDA], 0)), "")</f>
        <v/>
      </c>
      <c r="H39" s="36" t="str">
        <f t="shared" si="1"/>
        <v/>
      </c>
      <c r="I39" s="35" t="str">
        <f>IF(B39 = "", "", IF(FPWA_HelperTable[[#This Row],[President $ Change]]&lt;&gt;"", RANK(F39, $F$6:$F$262)+COUNTIF($F$6:F39, F39)-1, 0))</f>
        <v/>
      </c>
      <c r="J39" s="35" t="str">
        <f>IFERROR((IF(I39= 0, COUNTIF($I$6:I39, 0), "")+MAX($I$6:$I$262)), "")</f>
        <v/>
      </c>
      <c r="K39" s="35" t="str">
        <f t="shared" si="2"/>
        <v/>
      </c>
      <c r="N39" s="34">
        <v>34</v>
      </c>
      <c r="O39" s="33" t="str">
        <f t="shared" si="3"/>
        <v/>
      </c>
    </row>
    <row r="40" spans="2:15" x14ac:dyDescent="0.25">
      <c r="B40" s="35" t="str">
        <f>IF(Control!$O43="","",INDEX(MemberOrg_Data[CFDA], Control!$O43))</f>
        <v/>
      </c>
      <c r="C40" s="35" t="str">
        <f t="array" ref="C40">IFERROR(INDEX(MemberOrg_Data[FEDERALPROGRAMNAME], MATCH(1, (SelectMemberOrg = MemberOrg_Data[Auditee Name])*(B40 = MemberOrg_Data[CFDA]), 0)), "")</f>
        <v/>
      </c>
      <c r="D40" s="36" t="str">
        <f>IFERROR(IF(B40 &lt;&gt; "", SUMIFS(MemberOrg_Data[Total Amount], MemberOrg_Data[Auditee Name], SelectMemberOrg, MemberOrg_Data[CFDA], B40), ""), "")</f>
        <v/>
      </c>
      <c r="E40" s="37" t="str">
        <f>IFERROR(INDEX(BudgetApprop_Data[President: % Change from 2019], MATCH(B40, BudgetApprop_Data[CFDA], 0)), "")</f>
        <v/>
      </c>
      <c r="F40" s="36" t="str">
        <f t="shared" si="0"/>
        <v/>
      </c>
      <c r="G40" s="46" t="str">
        <f>IFERROR(INDEX(BudgetApprop_Data[House: % Change from 2019], MATCH(FPWA_HelperTable[[#This Row],[CFDA]], BudgetApprop_Data[CFDA], 0)), "")</f>
        <v/>
      </c>
      <c r="H40" s="36" t="str">
        <f t="shared" si="1"/>
        <v/>
      </c>
      <c r="I40" s="35" t="str">
        <f>IF(B40 = "", "", IF(FPWA_HelperTable[[#This Row],[President $ Change]]&lt;&gt;"", RANK(F40, $F$6:$F$262)+COUNTIF($F$6:F40, F40)-1, 0))</f>
        <v/>
      </c>
      <c r="J40" s="35" t="str">
        <f>IFERROR((IF(I40= 0, COUNTIF($I$6:I40, 0), "")+MAX($I$6:$I$262)), "")</f>
        <v/>
      </c>
      <c r="K40" s="35" t="str">
        <f t="shared" si="2"/>
        <v/>
      </c>
      <c r="N40" s="34">
        <v>35</v>
      </c>
      <c r="O40" s="33" t="str">
        <f t="shared" si="3"/>
        <v/>
      </c>
    </row>
    <row r="41" spans="2:15" x14ac:dyDescent="0.25">
      <c r="B41" s="35" t="str">
        <f>IF(Control!$O44="","",INDEX(MemberOrg_Data[CFDA], Control!$O44))</f>
        <v/>
      </c>
      <c r="C41" s="35" t="str">
        <f t="array" ref="C41">IFERROR(INDEX(MemberOrg_Data[FEDERALPROGRAMNAME], MATCH(1, (SelectMemberOrg = MemberOrg_Data[Auditee Name])*(B41 = MemberOrg_Data[CFDA]), 0)), "")</f>
        <v/>
      </c>
      <c r="D41" s="36" t="str">
        <f>IFERROR(IF(B41 &lt;&gt; "", SUMIFS(MemberOrg_Data[Total Amount], MemberOrg_Data[Auditee Name], SelectMemberOrg, MemberOrg_Data[CFDA], B41), ""), "")</f>
        <v/>
      </c>
      <c r="E41" s="37" t="str">
        <f>IFERROR(INDEX(BudgetApprop_Data[President: % Change from 2019], MATCH(B41, BudgetApprop_Data[CFDA], 0)), "")</f>
        <v/>
      </c>
      <c r="F41" s="36" t="str">
        <f t="shared" si="0"/>
        <v/>
      </c>
      <c r="G41" s="46" t="str">
        <f>IFERROR(INDEX(BudgetApprop_Data[House: % Change from 2019], MATCH(FPWA_HelperTable[[#This Row],[CFDA]], BudgetApprop_Data[CFDA], 0)), "")</f>
        <v/>
      </c>
      <c r="H41" s="36" t="str">
        <f t="shared" si="1"/>
        <v/>
      </c>
      <c r="I41" s="35" t="str">
        <f>IF(B41 = "", "", IF(FPWA_HelperTable[[#This Row],[President $ Change]]&lt;&gt;"", RANK(F41, $F$6:$F$262)+COUNTIF($F$6:F41, F41)-1, 0))</f>
        <v/>
      </c>
      <c r="J41" s="35" t="str">
        <f>IFERROR((IF(I41= 0, COUNTIF($I$6:I41, 0), "")+MAX($I$6:$I$262)), "")</f>
        <v/>
      </c>
      <c r="K41" s="35" t="str">
        <f t="shared" si="2"/>
        <v/>
      </c>
      <c r="N41" s="34">
        <v>36</v>
      </c>
      <c r="O41" s="33" t="str">
        <f t="shared" si="3"/>
        <v/>
      </c>
    </row>
    <row r="42" spans="2:15" x14ac:dyDescent="0.25">
      <c r="B42" s="35" t="str">
        <f>IF(Control!$O45="","",INDEX(MemberOrg_Data[CFDA], Control!$O45))</f>
        <v/>
      </c>
      <c r="C42" s="35" t="str">
        <f t="array" ref="C42">IFERROR(INDEX(MemberOrg_Data[FEDERALPROGRAMNAME], MATCH(1, (SelectMemberOrg = MemberOrg_Data[Auditee Name])*(B42 = MemberOrg_Data[CFDA]), 0)), "")</f>
        <v/>
      </c>
      <c r="D42" s="36" t="str">
        <f>IFERROR(IF(B42 &lt;&gt; "", SUMIFS(MemberOrg_Data[Total Amount], MemberOrg_Data[Auditee Name], SelectMemberOrg, MemberOrg_Data[CFDA], B42), ""), "")</f>
        <v/>
      </c>
      <c r="E42" s="37" t="str">
        <f>IFERROR(INDEX(BudgetApprop_Data[President: % Change from 2019], MATCH(B42, BudgetApprop_Data[CFDA], 0)), "")</f>
        <v/>
      </c>
      <c r="F42" s="36" t="str">
        <f t="shared" si="0"/>
        <v/>
      </c>
      <c r="G42" s="46" t="str">
        <f>IFERROR(INDEX(BudgetApprop_Data[House: % Change from 2019], MATCH(FPWA_HelperTable[[#This Row],[CFDA]], BudgetApprop_Data[CFDA], 0)), "")</f>
        <v/>
      </c>
      <c r="H42" s="36" t="str">
        <f t="shared" si="1"/>
        <v/>
      </c>
      <c r="I42" s="35" t="str">
        <f>IF(B42 = "", "", IF(FPWA_HelperTable[[#This Row],[President $ Change]]&lt;&gt;"", RANK(F42, $F$6:$F$262)+COUNTIF($F$6:F42, F42)-1, 0))</f>
        <v/>
      </c>
      <c r="J42" s="35" t="str">
        <f>IFERROR((IF(I42= 0, COUNTIF($I$6:I42, 0), "")+MAX($I$6:$I$262)), "")</f>
        <v/>
      </c>
      <c r="K42" s="35" t="str">
        <f t="shared" si="2"/>
        <v/>
      </c>
      <c r="N42" s="34">
        <v>37</v>
      </c>
      <c r="O42" s="33" t="str">
        <f t="shared" si="3"/>
        <v/>
      </c>
    </row>
    <row r="43" spans="2:15" x14ac:dyDescent="0.25">
      <c r="B43" s="35" t="str">
        <f>IF(Control!$O46="","",INDEX(MemberOrg_Data[CFDA], Control!$O46))</f>
        <v/>
      </c>
      <c r="C43" s="35" t="str">
        <f t="array" ref="C43">IFERROR(INDEX(MemberOrg_Data[FEDERALPROGRAMNAME], MATCH(1, (SelectMemberOrg = MemberOrg_Data[Auditee Name])*(B43 = MemberOrg_Data[CFDA]), 0)), "")</f>
        <v/>
      </c>
      <c r="D43" s="36" t="str">
        <f>IFERROR(IF(B43 &lt;&gt; "", SUMIFS(MemberOrg_Data[Total Amount], MemberOrg_Data[Auditee Name], SelectMemberOrg, MemberOrg_Data[CFDA], B43), ""), "")</f>
        <v/>
      </c>
      <c r="E43" s="37" t="str">
        <f>IFERROR(INDEX(BudgetApprop_Data[President: % Change from 2019], MATCH(B43, BudgetApprop_Data[CFDA], 0)), "")</f>
        <v/>
      </c>
      <c r="F43" s="36" t="str">
        <f t="shared" si="0"/>
        <v/>
      </c>
      <c r="G43" s="46" t="str">
        <f>IFERROR(INDEX(BudgetApprop_Data[House: % Change from 2019], MATCH(FPWA_HelperTable[[#This Row],[CFDA]], BudgetApprop_Data[CFDA], 0)), "")</f>
        <v/>
      </c>
      <c r="H43" s="36" t="str">
        <f t="shared" si="1"/>
        <v/>
      </c>
      <c r="I43" s="35" t="str">
        <f>IF(B43 = "", "", IF(FPWA_HelperTable[[#This Row],[President $ Change]]&lt;&gt;"", RANK(F43, $F$6:$F$262)+COUNTIF($F$6:F43, F43)-1, 0))</f>
        <v/>
      </c>
      <c r="J43" s="35" t="str">
        <f>IFERROR((IF(I43= 0, COUNTIF($I$6:I43, 0), "")+MAX($I$6:$I$262)), "")</f>
        <v/>
      </c>
      <c r="K43" s="35" t="str">
        <f t="shared" si="2"/>
        <v/>
      </c>
      <c r="N43" s="34">
        <v>38</v>
      </c>
      <c r="O43" s="33" t="str">
        <f t="shared" si="3"/>
        <v/>
      </c>
    </row>
    <row r="44" spans="2:15" x14ac:dyDescent="0.25">
      <c r="B44" s="35" t="str">
        <f>IF(Control!$O47="","",INDEX(MemberOrg_Data[CFDA], Control!$O47))</f>
        <v/>
      </c>
      <c r="C44" s="35" t="str">
        <f t="array" ref="C44">IFERROR(INDEX(MemberOrg_Data[FEDERALPROGRAMNAME], MATCH(1, (SelectMemberOrg = MemberOrg_Data[Auditee Name])*(B44 = MemberOrg_Data[CFDA]), 0)), "")</f>
        <v/>
      </c>
      <c r="D44" s="36" t="str">
        <f>IFERROR(IF(B44 &lt;&gt; "", SUMIFS(MemberOrg_Data[Total Amount], MemberOrg_Data[Auditee Name], SelectMemberOrg, MemberOrg_Data[CFDA], B44), ""), "")</f>
        <v/>
      </c>
      <c r="E44" s="37" t="str">
        <f>IFERROR(INDEX(BudgetApprop_Data[President: % Change from 2019], MATCH(B44, BudgetApprop_Data[CFDA], 0)), "")</f>
        <v/>
      </c>
      <c r="F44" s="36" t="str">
        <f t="shared" si="0"/>
        <v/>
      </c>
      <c r="G44" s="46" t="str">
        <f>IFERROR(INDEX(BudgetApprop_Data[House: % Change from 2019], MATCH(FPWA_HelperTable[[#This Row],[CFDA]], BudgetApprop_Data[CFDA], 0)), "")</f>
        <v/>
      </c>
      <c r="H44" s="36" t="str">
        <f t="shared" si="1"/>
        <v/>
      </c>
      <c r="I44" s="35" t="str">
        <f>IF(B44 = "", "", IF(FPWA_HelperTable[[#This Row],[President $ Change]]&lt;&gt;"", RANK(F44, $F$6:$F$262)+COUNTIF($F$6:F44, F44)-1, 0))</f>
        <v/>
      </c>
      <c r="J44" s="35" t="str">
        <f>IFERROR((IF(I44= 0, COUNTIF($I$6:I44, 0), "")+MAX($I$6:$I$262)), "")</f>
        <v/>
      </c>
      <c r="K44" s="35" t="str">
        <f t="shared" si="2"/>
        <v/>
      </c>
      <c r="N44" s="34">
        <v>39</v>
      </c>
      <c r="O44" s="33" t="str">
        <f t="shared" si="3"/>
        <v/>
      </c>
    </row>
    <row r="45" spans="2:15" x14ac:dyDescent="0.25">
      <c r="B45" s="35" t="str">
        <f>IF(Control!$O48="","",INDEX(MemberOrg_Data[CFDA], Control!$O48))</f>
        <v/>
      </c>
      <c r="C45" s="35" t="str">
        <f t="array" ref="C45">IFERROR(INDEX(MemberOrg_Data[FEDERALPROGRAMNAME], MATCH(1, (SelectMemberOrg = MemberOrg_Data[Auditee Name])*(B45 = MemberOrg_Data[CFDA]), 0)), "")</f>
        <v/>
      </c>
      <c r="D45" s="36" t="str">
        <f>IFERROR(IF(B45 &lt;&gt; "", SUMIFS(MemberOrg_Data[Total Amount], MemberOrg_Data[Auditee Name], SelectMemberOrg, MemberOrg_Data[CFDA], B45), ""), "")</f>
        <v/>
      </c>
      <c r="E45" s="37" t="str">
        <f>IFERROR(INDEX(BudgetApprop_Data[President: % Change from 2019], MATCH(B45, BudgetApprop_Data[CFDA], 0)), "")</f>
        <v/>
      </c>
      <c r="F45" s="36" t="str">
        <f t="shared" si="0"/>
        <v/>
      </c>
      <c r="G45" s="46" t="str">
        <f>IFERROR(INDEX(BudgetApprop_Data[House: % Change from 2019], MATCH(FPWA_HelperTable[[#This Row],[CFDA]], BudgetApprop_Data[CFDA], 0)), "")</f>
        <v/>
      </c>
      <c r="H45" s="36" t="str">
        <f t="shared" si="1"/>
        <v/>
      </c>
      <c r="I45" s="35" t="str">
        <f>IF(B45 = "", "", IF(FPWA_HelperTable[[#This Row],[President $ Change]]&lt;&gt;"", RANK(F45, $F$6:$F$262)+COUNTIF($F$6:F45, F45)-1, 0))</f>
        <v/>
      </c>
      <c r="J45" s="35" t="str">
        <f>IFERROR((IF(I45= 0, COUNTIF($I$6:I45, 0), "")+MAX($I$6:$I$262)), "")</f>
        <v/>
      </c>
      <c r="K45" s="35" t="str">
        <f t="shared" si="2"/>
        <v/>
      </c>
      <c r="N45" s="34">
        <v>40</v>
      </c>
      <c r="O45" s="33" t="str">
        <f t="shared" si="3"/>
        <v/>
      </c>
    </row>
    <row r="46" spans="2:15" x14ac:dyDescent="0.25">
      <c r="B46" s="35" t="str">
        <f>IF(Control!$O49="","",INDEX(MemberOrg_Data[CFDA], Control!$O49))</f>
        <v/>
      </c>
      <c r="C46" s="35" t="str">
        <f t="array" ref="C46">IFERROR(INDEX(MemberOrg_Data[FEDERALPROGRAMNAME], MATCH(1, (SelectMemberOrg = MemberOrg_Data[Auditee Name])*(B46 = MemberOrg_Data[CFDA]), 0)), "")</f>
        <v/>
      </c>
      <c r="D46" s="36" t="str">
        <f>IFERROR(IF(B46 &lt;&gt; "", SUMIFS(MemberOrg_Data[Total Amount], MemberOrg_Data[Auditee Name], SelectMemberOrg, MemberOrg_Data[CFDA], B46), ""), "")</f>
        <v/>
      </c>
      <c r="E46" s="37" t="str">
        <f>IFERROR(INDEX(BudgetApprop_Data[President: % Change from 2019], MATCH(B46, BudgetApprop_Data[CFDA], 0)), "")</f>
        <v/>
      </c>
      <c r="F46" s="36" t="str">
        <f t="shared" si="0"/>
        <v/>
      </c>
      <c r="G46" s="46" t="str">
        <f>IFERROR(INDEX(BudgetApprop_Data[House: % Change from 2019], MATCH(FPWA_HelperTable[[#This Row],[CFDA]], BudgetApprop_Data[CFDA], 0)), "")</f>
        <v/>
      </c>
      <c r="H46" s="36" t="str">
        <f t="shared" si="1"/>
        <v/>
      </c>
      <c r="I46" s="35" t="str">
        <f>IF(B46 = "", "", IF(FPWA_HelperTable[[#This Row],[President $ Change]]&lt;&gt;"", RANK(F46, $F$6:$F$262)+COUNTIF($F$6:F46, F46)-1, 0))</f>
        <v/>
      </c>
      <c r="J46" s="35" t="str">
        <f>IFERROR((IF(I46= 0, COUNTIF($I$6:I46, 0), "")+MAX($I$6:$I$262)), "")</f>
        <v/>
      </c>
      <c r="K46" s="35" t="str">
        <f t="shared" si="2"/>
        <v/>
      </c>
      <c r="N46" s="34">
        <v>41</v>
      </c>
      <c r="O46" s="33" t="str">
        <f t="shared" si="3"/>
        <v/>
      </c>
    </row>
    <row r="47" spans="2:15" x14ac:dyDescent="0.25">
      <c r="B47" s="35" t="str">
        <f>IF(Control!$O50="","",INDEX(MemberOrg_Data[CFDA], Control!$O50))</f>
        <v/>
      </c>
      <c r="C47" s="35" t="str">
        <f t="array" ref="C47">IFERROR(INDEX(MemberOrg_Data[FEDERALPROGRAMNAME], MATCH(1, (SelectMemberOrg = MemberOrg_Data[Auditee Name])*(B47 = MemberOrg_Data[CFDA]), 0)), "")</f>
        <v/>
      </c>
      <c r="D47" s="36" t="str">
        <f>IFERROR(IF(B47 &lt;&gt; "", SUMIFS(MemberOrg_Data[Total Amount], MemberOrg_Data[Auditee Name], SelectMemberOrg, MemberOrg_Data[CFDA], B47), ""), "")</f>
        <v/>
      </c>
      <c r="E47" s="37" t="str">
        <f>IFERROR(INDEX(BudgetApprop_Data[President: % Change from 2019], MATCH(B47, BudgetApprop_Data[CFDA], 0)), "")</f>
        <v/>
      </c>
      <c r="F47" s="36" t="str">
        <f t="shared" si="0"/>
        <v/>
      </c>
      <c r="G47" s="46" t="str">
        <f>IFERROR(INDEX(BudgetApprop_Data[House: % Change from 2019], MATCH(FPWA_HelperTable[[#This Row],[CFDA]], BudgetApprop_Data[CFDA], 0)), "")</f>
        <v/>
      </c>
      <c r="H47" s="36" t="str">
        <f t="shared" si="1"/>
        <v/>
      </c>
      <c r="I47" s="35" t="str">
        <f>IF(B47 = "", "", IF(FPWA_HelperTable[[#This Row],[President $ Change]]&lt;&gt;"", RANK(F47, $F$6:$F$262)+COUNTIF($F$6:F47, F47)-1, 0))</f>
        <v/>
      </c>
      <c r="J47" s="35" t="str">
        <f>IFERROR((IF(I47= 0, COUNTIF($I$6:I47, 0), "")+MAX($I$6:$I$262)), "")</f>
        <v/>
      </c>
      <c r="K47" s="35" t="str">
        <f t="shared" si="2"/>
        <v/>
      </c>
      <c r="N47" s="34">
        <v>42</v>
      </c>
      <c r="O47" s="33" t="str">
        <f t="shared" si="3"/>
        <v/>
      </c>
    </row>
    <row r="48" spans="2:15" x14ac:dyDescent="0.25">
      <c r="B48" s="35" t="str">
        <f>IF(Control!$O51="","",INDEX(MemberOrg_Data[CFDA], Control!$O51))</f>
        <v/>
      </c>
      <c r="C48" s="35" t="str">
        <f t="array" ref="C48">IFERROR(INDEX(MemberOrg_Data[FEDERALPROGRAMNAME], MATCH(1, (SelectMemberOrg = MemberOrg_Data[Auditee Name])*(B48 = MemberOrg_Data[CFDA]), 0)), "")</f>
        <v/>
      </c>
      <c r="D48" s="36" t="str">
        <f>IFERROR(IF(B48 &lt;&gt; "", SUMIFS(MemberOrg_Data[Total Amount], MemberOrg_Data[Auditee Name], SelectMemberOrg, MemberOrg_Data[CFDA], B48), ""), "")</f>
        <v/>
      </c>
      <c r="E48" s="37" t="str">
        <f>IFERROR(INDEX(BudgetApprop_Data[President: % Change from 2019], MATCH(B48, BudgetApprop_Data[CFDA], 0)), "")</f>
        <v/>
      </c>
      <c r="F48" s="36" t="str">
        <f t="shared" si="0"/>
        <v/>
      </c>
      <c r="G48" s="46" t="str">
        <f>IFERROR(INDEX(BudgetApprop_Data[House: % Change from 2019], MATCH(FPWA_HelperTable[[#This Row],[CFDA]], BudgetApprop_Data[CFDA], 0)), "")</f>
        <v/>
      </c>
      <c r="H48" s="36" t="str">
        <f t="shared" si="1"/>
        <v/>
      </c>
      <c r="I48" s="35" t="str">
        <f>IF(B48 = "", "", IF(FPWA_HelperTable[[#This Row],[President $ Change]]&lt;&gt;"", RANK(F48, $F$6:$F$262)+COUNTIF($F$6:F48, F48)-1, 0))</f>
        <v/>
      </c>
      <c r="J48" s="35" t="str">
        <f>IFERROR((IF(I48= 0, COUNTIF($I$6:I48, 0), "")+MAX($I$6:$I$262)), "")</f>
        <v/>
      </c>
      <c r="K48" s="35" t="str">
        <f t="shared" si="2"/>
        <v/>
      </c>
      <c r="N48" s="34">
        <v>43</v>
      </c>
      <c r="O48" s="33" t="str">
        <f t="shared" si="3"/>
        <v/>
      </c>
    </row>
    <row r="49" spans="2:15" x14ac:dyDescent="0.25">
      <c r="B49" s="35" t="str">
        <f>IF(Control!$O52="","",INDEX(MemberOrg_Data[CFDA], Control!$O52))</f>
        <v/>
      </c>
      <c r="C49" s="35" t="str">
        <f t="array" ref="C49">IFERROR(INDEX(MemberOrg_Data[FEDERALPROGRAMNAME], MATCH(1, (SelectMemberOrg = MemberOrg_Data[Auditee Name])*(B49 = MemberOrg_Data[CFDA]), 0)), "")</f>
        <v/>
      </c>
      <c r="D49" s="36" t="str">
        <f>IFERROR(IF(B49 &lt;&gt; "", SUMIFS(MemberOrg_Data[Total Amount], MemberOrg_Data[Auditee Name], SelectMemberOrg, MemberOrg_Data[CFDA], B49), ""), "")</f>
        <v/>
      </c>
      <c r="E49" s="37" t="str">
        <f>IFERROR(INDEX(BudgetApprop_Data[President: % Change from 2019], MATCH(B49, BudgetApprop_Data[CFDA], 0)), "")</f>
        <v/>
      </c>
      <c r="F49" s="36" t="str">
        <f t="shared" si="0"/>
        <v/>
      </c>
      <c r="G49" s="46" t="str">
        <f>IFERROR(INDEX(BudgetApprop_Data[House: % Change from 2019], MATCH(FPWA_HelperTable[[#This Row],[CFDA]], BudgetApprop_Data[CFDA], 0)), "")</f>
        <v/>
      </c>
      <c r="H49" s="36" t="str">
        <f t="shared" si="1"/>
        <v/>
      </c>
      <c r="I49" s="35" t="str">
        <f>IF(B49 = "", "", IF(FPWA_HelperTable[[#This Row],[President $ Change]]&lt;&gt;"", RANK(F49, $F$6:$F$262)+COUNTIF($F$6:F49, F49)-1, 0))</f>
        <v/>
      </c>
      <c r="J49" s="35" t="str">
        <f>IFERROR((IF(I49= 0, COUNTIF($I$6:I49, 0), "")+MAX($I$6:$I$262)), "")</f>
        <v/>
      </c>
      <c r="K49" s="35" t="str">
        <f t="shared" si="2"/>
        <v/>
      </c>
      <c r="N49" s="34">
        <v>44</v>
      </c>
      <c r="O49" s="33" t="str">
        <f t="shared" si="3"/>
        <v/>
      </c>
    </row>
    <row r="50" spans="2:15" x14ac:dyDescent="0.25">
      <c r="B50" s="35" t="str">
        <f>IF(Control!$O53="","",INDEX(MemberOrg_Data[CFDA], Control!$O53))</f>
        <v/>
      </c>
      <c r="C50" s="35" t="str">
        <f t="array" ref="C50">IFERROR(INDEX(MemberOrg_Data[FEDERALPROGRAMNAME], MATCH(1, (SelectMemberOrg = MemberOrg_Data[Auditee Name])*(B50 = MemberOrg_Data[CFDA]), 0)), "")</f>
        <v/>
      </c>
      <c r="D50" s="36" t="str">
        <f>IFERROR(IF(B50 &lt;&gt; "", SUMIFS(MemberOrg_Data[Total Amount], MemberOrg_Data[Auditee Name], SelectMemberOrg, MemberOrg_Data[CFDA], B50), ""), "")</f>
        <v/>
      </c>
      <c r="E50" s="37" t="str">
        <f>IFERROR(INDEX(BudgetApprop_Data[President: % Change from 2019], MATCH(B50, BudgetApprop_Data[CFDA], 0)), "")</f>
        <v/>
      </c>
      <c r="F50" s="36" t="str">
        <f t="shared" si="0"/>
        <v/>
      </c>
      <c r="G50" s="46" t="str">
        <f>IFERROR(INDEX(BudgetApprop_Data[House: % Change from 2019], MATCH(FPWA_HelperTable[[#This Row],[CFDA]], BudgetApprop_Data[CFDA], 0)), "")</f>
        <v/>
      </c>
      <c r="H50" s="36" t="str">
        <f t="shared" si="1"/>
        <v/>
      </c>
      <c r="I50" s="35" t="str">
        <f>IF(B50 = "", "", IF(FPWA_HelperTable[[#This Row],[President $ Change]]&lt;&gt;"", RANK(F50, $F$6:$F$262)+COUNTIF($F$6:F50, F50)-1, 0))</f>
        <v/>
      </c>
      <c r="J50" s="35" t="str">
        <f>IFERROR((IF(I50= 0, COUNTIF($I$6:I50, 0), "")+MAX($I$6:$I$262)), "")</f>
        <v/>
      </c>
      <c r="K50" s="35" t="str">
        <f t="shared" si="2"/>
        <v/>
      </c>
      <c r="N50" s="34">
        <v>45</v>
      </c>
      <c r="O50" s="33" t="str">
        <f t="shared" si="3"/>
        <v/>
      </c>
    </row>
    <row r="51" spans="2:15" x14ac:dyDescent="0.25">
      <c r="B51" s="35" t="str">
        <f>IF(Control!$O54="","",INDEX(MemberOrg_Data[CFDA], Control!$O54))</f>
        <v/>
      </c>
      <c r="C51" s="35" t="str">
        <f t="array" ref="C51">IFERROR(INDEX(MemberOrg_Data[FEDERALPROGRAMNAME], MATCH(1, (SelectMemberOrg = MemberOrg_Data[Auditee Name])*(B51 = MemberOrg_Data[CFDA]), 0)), "")</f>
        <v/>
      </c>
      <c r="D51" s="36" t="str">
        <f>IFERROR(IF(B51 &lt;&gt; "", SUMIFS(MemberOrg_Data[Total Amount], MemberOrg_Data[Auditee Name], SelectMemberOrg, MemberOrg_Data[CFDA], B51), ""), "")</f>
        <v/>
      </c>
      <c r="E51" s="37" t="str">
        <f>IFERROR(INDEX(BudgetApprop_Data[President: % Change from 2019], MATCH(B51, BudgetApprop_Data[CFDA], 0)), "")</f>
        <v/>
      </c>
      <c r="F51" s="36" t="str">
        <f t="shared" si="0"/>
        <v/>
      </c>
      <c r="G51" s="46" t="str">
        <f>IFERROR(INDEX(BudgetApprop_Data[House: % Change from 2019], MATCH(FPWA_HelperTable[[#This Row],[CFDA]], BudgetApprop_Data[CFDA], 0)), "")</f>
        <v/>
      </c>
      <c r="H51" s="36" t="str">
        <f t="shared" si="1"/>
        <v/>
      </c>
      <c r="I51" s="35" t="str">
        <f>IF(B51 = "", "", IF(FPWA_HelperTable[[#This Row],[President $ Change]]&lt;&gt;"", RANK(F51, $F$6:$F$262)+COUNTIF($F$6:F51, F51)-1, 0))</f>
        <v/>
      </c>
      <c r="J51" s="35" t="str">
        <f>IFERROR((IF(I51= 0, COUNTIF($I$6:I51, 0), "")+MAX($I$6:$I$262)), "")</f>
        <v/>
      </c>
      <c r="K51" s="35" t="str">
        <f t="shared" si="2"/>
        <v/>
      </c>
      <c r="N51" s="34">
        <v>46</v>
      </c>
      <c r="O51" s="33" t="str">
        <f t="shared" si="3"/>
        <v/>
      </c>
    </row>
    <row r="52" spans="2:15" x14ac:dyDescent="0.25">
      <c r="B52" s="35" t="str">
        <f>IF(Control!$O55="","",INDEX(MemberOrg_Data[CFDA], Control!$O55))</f>
        <v/>
      </c>
      <c r="C52" s="35" t="str">
        <f t="array" ref="C52">IFERROR(INDEX(MemberOrg_Data[FEDERALPROGRAMNAME], MATCH(1, (SelectMemberOrg = MemberOrg_Data[Auditee Name])*(B52 = MemberOrg_Data[CFDA]), 0)), "")</f>
        <v/>
      </c>
      <c r="D52" s="36" t="str">
        <f>IFERROR(IF(B52 &lt;&gt; "", SUMIFS(MemberOrg_Data[Total Amount], MemberOrg_Data[Auditee Name], SelectMemberOrg, MemberOrg_Data[CFDA], B52), ""), "")</f>
        <v/>
      </c>
      <c r="E52" s="37" t="str">
        <f>IFERROR(INDEX(BudgetApprop_Data[President: % Change from 2019], MATCH(B52, BudgetApprop_Data[CFDA], 0)), "")</f>
        <v/>
      </c>
      <c r="F52" s="36" t="str">
        <f t="shared" si="0"/>
        <v/>
      </c>
      <c r="G52" s="46" t="str">
        <f>IFERROR(INDEX(BudgetApprop_Data[House: % Change from 2019], MATCH(FPWA_HelperTable[[#This Row],[CFDA]], BudgetApprop_Data[CFDA], 0)), "")</f>
        <v/>
      </c>
      <c r="H52" s="36" t="str">
        <f t="shared" si="1"/>
        <v/>
      </c>
      <c r="I52" s="35" t="str">
        <f>IF(B52 = "", "", IF(FPWA_HelperTable[[#This Row],[President $ Change]]&lt;&gt;"", RANK(F52, $F$6:$F$262)+COUNTIF($F$6:F52, F52)-1, 0))</f>
        <v/>
      </c>
      <c r="J52" s="35" t="str">
        <f>IFERROR((IF(I52= 0, COUNTIF($I$6:I52, 0), "")+MAX($I$6:$I$262)), "")</f>
        <v/>
      </c>
      <c r="K52" s="35" t="str">
        <f t="shared" si="2"/>
        <v/>
      </c>
      <c r="N52" s="34">
        <v>47</v>
      </c>
      <c r="O52" s="33" t="str">
        <f t="shared" si="3"/>
        <v/>
      </c>
    </row>
    <row r="53" spans="2:15" x14ac:dyDescent="0.25">
      <c r="B53" s="35" t="str">
        <f>IF(Control!$O56="","",INDEX(MemberOrg_Data[CFDA], Control!$O56))</f>
        <v/>
      </c>
      <c r="C53" s="35" t="str">
        <f t="array" ref="C53">IFERROR(INDEX(MemberOrg_Data[FEDERALPROGRAMNAME], MATCH(1, (SelectMemberOrg = MemberOrg_Data[Auditee Name])*(B53 = MemberOrg_Data[CFDA]), 0)), "")</f>
        <v/>
      </c>
      <c r="D53" s="36" t="str">
        <f>IFERROR(IF(B53 &lt;&gt; "", SUMIFS(MemberOrg_Data[Total Amount], MemberOrg_Data[Auditee Name], SelectMemberOrg, MemberOrg_Data[CFDA], B53), ""), "")</f>
        <v/>
      </c>
      <c r="E53" s="37" t="str">
        <f>IFERROR(INDEX(BudgetApprop_Data[President: % Change from 2019], MATCH(B53, BudgetApprop_Data[CFDA], 0)), "")</f>
        <v/>
      </c>
      <c r="F53" s="36" t="str">
        <f t="shared" si="0"/>
        <v/>
      </c>
      <c r="G53" s="46" t="str">
        <f>IFERROR(INDEX(BudgetApprop_Data[House: % Change from 2019], MATCH(FPWA_HelperTable[[#This Row],[CFDA]], BudgetApprop_Data[CFDA], 0)), "")</f>
        <v/>
      </c>
      <c r="H53" s="36" t="str">
        <f t="shared" si="1"/>
        <v/>
      </c>
      <c r="I53" s="35" t="str">
        <f>IF(B53 = "", "", IF(FPWA_HelperTable[[#This Row],[President $ Change]]&lt;&gt;"", RANK(F53, $F$6:$F$262)+COUNTIF($F$6:F53, F53)-1, 0))</f>
        <v/>
      </c>
      <c r="J53" s="35" t="str">
        <f>IFERROR((IF(I53= 0, COUNTIF($I$6:I53, 0), "")+MAX($I$6:$I$262)), "")</f>
        <v/>
      </c>
      <c r="K53" s="35" t="str">
        <f t="shared" si="2"/>
        <v/>
      </c>
      <c r="N53" s="34">
        <v>48</v>
      </c>
      <c r="O53" s="33" t="str">
        <f t="shared" si="3"/>
        <v/>
      </c>
    </row>
    <row r="54" spans="2:15" x14ac:dyDescent="0.25">
      <c r="B54" s="35" t="str">
        <f>IF(Control!$O57="","",INDEX(MemberOrg_Data[CFDA], Control!$O57))</f>
        <v/>
      </c>
      <c r="C54" s="35" t="str">
        <f t="array" ref="C54">IFERROR(INDEX(MemberOrg_Data[FEDERALPROGRAMNAME], MATCH(1, (SelectMemberOrg = MemberOrg_Data[Auditee Name])*(B54 = MemberOrg_Data[CFDA]), 0)), "")</f>
        <v/>
      </c>
      <c r="D54" s="36" t="str">
        <f>IFERROR(IF(B54 &lt;&gt; "", SUMIFS(MemberOrg_Data[Total Amount], MemberOrg_Data[Auditee Name], SelectMemberOrg, MemberOrg_Data[CFDA], B54), ""), "")</f>
        <v/>
      </c>
      <c r="E54" s="37" t="str">
        <f>IFERROR(INDEX(BudgetApprop_Data[President: % Change from 2019], MATCH(B54, BudgetApprop_Data[CFDA], 0)), "")</f>
        <v/>
      </c>
      <c r="F54" s="36" t="str">
        <f t="shared" si="0"/>
        <v/>
      </c>
      <c r="G54" s="46" t="str">
        <f>IFERROR(INDEX(BudgetApprop_Data[House: % Change from 2019], MATCH(FPWA_HelperTable[[#This Row],[CFDA]], BudgetApprop_Data[CFDA], 0)), "")</f>
        <v/>
      </c>
      <c r="H54" s="36" t="str">
        <f t="shared" si="1"/>
        <v/>
      </c>
      <c r="I54" s="35" t="str">
        <f>IF(B54 = "", "", IF(FPWA_HelperTable[[#This Row],[President $ Change]]&lt;&gt;"", RANK(F54, $F$6:$F$262)+COUNTIF($F$6:F54, F54)-1, 0))</f>
        <v/>
      </c>
      <c r="J54" s="35" t="str">
        <f>IFERROR((IF(I54= 0, COUNTIF($I$6:I54, 0), "")+MAX($I$6:$I$262)), "")</f>
        <v/>
      </c>
      <c r="K54" s="35" t="str">
        <f t="shared" si="2"/>
        <v/>
      </c>
      <c r="N54" s="34">
        <v>49</v>
      </c>
      <c r="O54" s="33" t="str">
        <f t="shared" si="3"/>
        <v/>
      </c>
    </row>
    <row r="55" spans="2:15" x14ac:dyDescent="0.25">
      <c r="B55" s="35" t="str">
        <f>IF(Control!$O58="","",INDEX(MemberOrg_Data[CFDA], Control!$O58))</f>
        <v/>
      </c>
      <c r="C55" s="35" t="str">
        <f t="array" ref="C55">IFERROR(INDEX(MemberOrg_Data[FEDERALPROGRAMNAME], MATCH(1, (SelectMemberOrg = MemberOrg_Data[Auditee Name])*(B55 = MemberOrg_Data[CFDA]), 0)), "")</f>
        <v/>
      </c>
      <c r="D55" s="36" t="str">
        <f>IFERROR(IF(B55 &lt;&gt; "", SUMIFS(MemberOrg_Data[Total Amount], MemberOrg_Data[Auditee Name], SelectMemberOrg, MemberOrg_Data[CFDA], B55), ""), "")</f>
        <v/>
      </c>
      <c r="E55" s="37" t="str">
        <f>IFERROR(INDEX(BudgetApprop_Data[President: % Change from 2019], MATCH(B55, BudgetApprop_Data[CFDA], 0)), "")</f>
        <v/>
      </c>
      <c r="F55" s="36" t="str">
        <f t="shared" si="0"/>
        <v/>
      </c>
      <c r="G55" s="46" t="str">
        <f>IFERROR(INDEX(BudgetApprop_Data[House: % Change from 2019], MATCH(FPWA_HelperTable[[#This Row],[CFDA]], BudgetApprop_Data[CFDA], 0)), "")</f>
        <v/>
      </c>
      <c r="H55" s="36" t="str">
        <f t="shared" si="1"/>
        <v/>
      </c>
      <c r="I55" s="35" t="str">
        <f>IF(B55 = "", "", IF(FPWA_HelperTable[[#This Row],[President $ Change]]&lt;&gt;"", RANK(F55, $F$6:$F$262)+COUNTIF($F$6:F55, F55)-1, 0))</f>
        <v/>
      </c>
      <c r="J55" s="35" t="str">
        <f>IFERROR((IF(I55= 0, COUNTIF($I$6:I55, 0), "")+MAX($I$6:$I$262)), "")</f>
        <v/>
      </c>
      <c r="K55" s="35" t="str">
        <f t="shared" si="2"/>
        <v/>
      </c>
      <c r="N55" s="34">
        <v>50</v>
      </c>
      <c r="O55" s="33" t="str">
        <f t="shared" si="3"/>
        <v/>
      </c>
    </row>
    <row r="56" spans="2:15" x14ac:dyDescent="0.25">
      <c r="B56" s="35" t="str">
        <f>IF(Control!$O59="","",INDEX(MemberOrg_Data[CFDA], Control!$O59))</f>
        <v/>
      </c>
      <c r="C56" s="35" t="str">
        <f t="array" ref="C56">IFERROR(INDEX(MemberOrg_Data[FEDERALPROGRAMNAME], MATCH(1, (SelectMemberOrg = MemberOrg_Data[Auditee Name])*(B56 = MemberOrg_Data[CFDA]), 0)), "")</f>
        <v/>
      </c>
      <c r="D56" s="36" t="str">
        <f>IFERROR(IF(B56 &lt;&gt; "", SUMIFS(MemberOrg_Data[Total Amount], MemberOrg_Data[Auditee Name], SelectMemberOrg, MemberOrg_Data[CFDA], B56), ""), "")</f>
        <v/>
      </c>
      <c r="E56" s="37" t="str">
        <f>IFERROR(INDEX(BudgetApprop_Data[President: % Change from 2019], MATCH(B56, BudgetApprop_Data[CFDA], 0)), "")</f>
        <v/>
      </c>
      <c r="F56" s="36" t="str">
        <f t="shared" si="0"/>
        <v/>
      </c>
      <c r="G56" s="46" t="str">
        <f>IFERROR(INDEX(BudgetApprop_Data[House: % Change from 2019], MATCH(FPWA_HelperTable[[#This Row],[CFDA]], BudgetApprop_Data[CFDA], 0)), "")</f>
        <v/>
      </c>
      <c r="H56" s="36" t="str">
        <f t="shared" si="1"/>
        <v/>
      </c>
      <c r="I56" s="35" t="str">
        <f>IF(B56 = "", "", IF(FPWA_HelperTable[[#This Row],[President $ Change]]&lt;&gt;"", RANK(F56, $F$6:$F$262)+COUNTIF($F$6:F56, F56)-1, 0))</f>
        <v/>
      </c>
      <c r="J56" s="35" t="str">
        <f>IFERROR((IF(I56= 0, COUNTIF($I$6:I56, 0), "")+MAX($I$6:$I$262)), "")</f>
        <v/>
      </c>
      <c r="K56" s="35" t="str">
        <f t="shared" si="2"/>
        <v/>
      </c>
      <c r="N56" s="34">
        <v>51</v>
      </c>
      <c r="O56" s="33" t="str">
        <f t="shared" si="3"/>
        <v/>
      </c>
    </row>
    <row r="57" spans="2:15" x14ac:dyDescent="0.25">
      <c r="B57" s="35" t="str">
        <f>IF(Control!$O60="","",INDEX(MemberOrg_Data[CFDA], Control!$O60))</f>
        <v/>
      </c>
      <c r="C57" s="35" t="str">
        <f t="array" ref="C57">IFERROR(INDEX(MemberOrg_Data[FEDERALPROGRAMNAME], MATCH(1, (SelectMemberOrg = MemberOrg_Data[Auditee Name])*(B57 = MemberOrg_Data[CFDA]), 0)), "")</f>
        <v/>
      </c>
      <c r="D57" s="36" t="str">
        <f>IFERROR(IF(B57 &lt;&gt; "", SUMIFS(MemberOrg_Data[Total Amount], MemberOrg_Data[Auditee Name], SelectMemberOrg, MemberOrg_Data[CFDA], B57), ""), "")</f>
        <v/>
      </c>
      <c r="E57" s="37" t="str">
        <f>IFERROR(INDEX(BudgetApprop_Data[President: % Change from 2019], MATCH(B57, BudgetApprop_Data[CFDA], 0)), "")</f>
        <v/>
      </c>
      <c r="F57" s="36" t="str">
        <f t="shared" si="0"/>
        <v/>
      </c>
      <c r="G57" s="46" t="str">
        <f>IFERROR(INDEX(BudgetApprop_Data[House: % Change from 2019], MATCH(FPWA_HelperTable[[#This Row],[CFDA]], BudgetApprop_Data[CFDA], 0)), "")</f>
        <v/>
      </c>
      <c r="H57" s="36" t="str">
        <f t="shared" si="1"/>
        <v/>
      </c>
      <c r="I57" s="35" t="str">
        <f>IF(B57 = "", "", IF(FPWA_HelperTable[[#This Row],[President $ Change]]&lt;&gt;"", RANK(F57, $F$6:$F$262)+COUNTIF($F$6:F57, F57)-1, 0))</f>
        <v/>
      </c>
      <c r="J57" s="35" t="str">
        <f>IFERROR((IF(I57= 0, COUNTIF($I$6:I57, 0), "")+MAX($I$6:$I$262)), "")</f>
        <v/>
      </c>
      <c r="K57" s="35" t="str">
        <f t="shared" si="2"/>
        <v/>
      </c>
      <c r="N57" s="34">
        <v>52</v>
      </c>
      <c r="O57" s="33" t="str">
        <f t="shared" si="3"/>
        <v/>
      </c>
    </row>
    <row r="58" spans="2:15" x14ac:dyDescent="0.25">
      <c r="B58" s="35" t="str">
        <f>IF(Control!$O61="","",INDEX(MemberOrg_Data[CFDA], Control!$O61))</f>
        <v/>
      </c>
      <c r="C58" s="35" t="str">
        <f t="array" ref="C58">IFERROR(INDEX(MemberOrg_Data[FEDERALPROGRAMNAME], MATCH(1, (SelectMemberOrg = MemberOrg_Data[Auditee Name])*(B58 = MemberOrg_Data[CFDA]), 0)), "")</f>
        <v/>
      </c>
      <c r="D58" s="36" t="str">
        <f>IFERROR(IF(B58 &lt;&gt; "", SUMIFS(MemberOrg_Data[Total Amount], MemberOrg_Data[Auditee Name], SelectMemberOrg, MemberOrg_Data[CFDA], B58), ""), "")</f>
        <v/>
      </c>
      <c r="E58" s="37" t="str">
        <f>IFERROR(INDEX(BudgetApprop_Data[President: % Change from 2019], MATCH(B58, BudgetApprop_Data[CFDA], 0)), "")</f>
        <v/>
      </c>
      <c r="F58" s="36" t="str">
        <f t="shared" si="0"/>
        <v/>
      </c>
      <c r="G58" s="46" t="str">
        <f>IFERROR(INDEX(BudgetApprop_Data[House: % Change from 2019], MATCH(FPWA_HelperTable[[#This Row],[CFDA]], BudgetApprop_Data[CFDA], 0)), "")</f>
        <v/>
      </c>
      <c r="H58" s="36" t="str">
        <f t="shared" si="1"/>
        <v/>
      </c>
      <c r="I58" s="35" t="str">
        <f>IF(B58 = "", "", IF(FPWA_HelperTable[[#This Row],[President $ Change]]&lt;&gt;"", RANK(F58, $F$6:$F$262)+COUNTIF($F$6:F58, F58)-1, 0))</f>
        <v/>
      </c>
      <c r="J58" s="35" t="str">
        <f>IFERROR((IF(I58= 0, COUNTIF($I$6:I58, 0), "")+MAX($I$6:$I$262)), "")</f>
        <v/>
      </c>
      <c r="K58" s="35" t="str">
        <f t="shared" si="2"/>
        <v/>
      </c>
      <c r="N58" s="34">
        <v>53</v>
      </c>
      <c r="O58" s="33" t="str">
        <f t="shared" si="3"/>
        <v/>
      </c>
    </row>
    <row r="59" spans="2:15" x14ac:dyDescent="0.25">
      <c r="B59" s="35" t="str">
        <f>IF(Control!$O62="","",INDEX(MemberOrg_Data[CFDA], Control!$O62))</f>
        <v/>
      </c>
      <c r="C59" s="35" t="str">
        <f t="array" ref="C59">IFERROR(INDEX(MemberOrg_Data[FEDERALPROGRAMNAME], MATCH(1, (SelectMemberOrg = MemberOrg_Data[Auditee Name])*(B59 = MemberOrg_Data[CFDA]), 0)), "")</f>
        <v/>
      </c>
      <c r="D59" s="36" t="str">
        <f>IFERROR(IF(B59 &lt;&gt; "", SUMIFS(MemberOrg_Data[Total Amount], MemberOrg_Data[Auditee Name], SelectMemberOrg, MemberOrg_Data[CFDA], B59), ""), "")</f>
        <v/>
      </c>
      <c r="E59" s="37" t="str">
        <f>IFERROR(INDEX(BudgetApprop_Data[President: % Change from 2019], MATCH(B59, BudgetApprop_Data[CFDA], 0)), "")</f>
        <v/>
      </c>
      <c r="F59" s="36" t="str">
        <f t="shared" si="0"/>
        <v/>
      </c>
      <c r="G59" s="46" t="str">
        <f>IFERROR(INDEX(BudgetApprop_Data[House: % Change from 2019], MATCH(FPWA_HelperTable[[#This Row],[CFDA]], BudgetApprop_Data[CFDA], 0)), "")</f>
        <v/>
      </c>
      <c r="H59" s="36" t="str">
        <f t="shared" si="1"/>
        <v/>
      </c>
      <c r="I59" s="35" t="str">
        <f>IF(B59 = "", "", IF(FPWA_HelperTable[[#This Row],[President $ Change]]&lt;&gt;"", RANK(F59, $F$6:$F$262)+COUNTIF($F$6:F59, F59)-1, 0))</f>
        <v/>
      </c>
      <c r="J59" s="35" t="str">
        <f>IFERROR((IF(I59= 0, COUNTIF($I$6:I59, 0), "")+MAX($I$6:$I$262)), "")</f>
        <v/>
      </c>
      <c r="K59" s="35" t="str">
        <f t="shared" si="2"/>
        <v/>
      </c>
      <c r="N59" s="34">
        <v>54</v>
      </c>
      <c r="O59" s="33" t="str">
        <f t="shared" si="3"/>
        <v/>
      </c>
    </row>
    <row r="60" spans="2:15" x14ac:dyDescent="0.25">
      <c r="B60" s="35" t="str">
        <f>IF(Control!$O63="","",INDEX(MemberOrg_Data[CFDA], Control!$O63))</f>
        <v/>
      </c>
      <c r="C60" s="35" t="str">
        <f t="array" ref="C60">IFERROR(INDEX(MemberOrg_Data[FEDERALPROGRAMNAME], MATCH(1, (SelectMemberOrg = MemberOrg_Data[Auditee Name])*(B60 = MemberOrg_Data[CFDA]), 0)), "")</f>
        <v/>
      </c>
      <c r="D60" s="36" t="str">
        <f>IFERROR(IF(B60 &lt;&gt; "", SUMIFS(MemberOrg_Data[Total Amount], MemberOrg_Data[Auditee Name], SelectMemberOrg, MemberOrg_Data[CFDA], B60), ""), "")</f>
        <v/>
      </c>
      <c r="E60" s="37" t="str">
        <f>IFERROR(INDEX(BudgetApprop_Data[President: % Change from 2019], MATCH(B60, BudgetApprop_Data[CFDA], 0)), "")</f>
        <v/>
      </c>
      <c r="F60" s="36" t="str">
        <f t="shared" si="0"/>
        <v/>
      </c>
      <c r="G60" s="46" t="str">
        <f>IFERROR(INDEX(BudgetApprop_Data[House: % Change from 2019], MATCH(FPWA_HelperTable[[#This Row],[CFDA]], BudgetApprop_Data[CFDA], 0)), "")</f>
        <v/>
      </c>
      <c r="H60" s="36" t="str">
        <f t="shared" si="1"/>
        <v/>
      </c>
      <c r="I60" s="35" t="str">
        <f>IF(B60 = "", "", IF(FPWA_HelperTable[[#This Row],[President $ Change]]&lt;&gt;"", RANK(F60, $F$6:$F$262)+COUNTIF($F$6:F60, F60)-1, 0))</f>
        <v/>
      </c>
      <c r="J60" s="35" t="str">
        <f>IFERROR((IF(I60= 0, COUNTIF($I$6:I60, 0), "")+MAX($I$6:$I$262)), "")</f>
        <v/>
      </c>
      <c r="K60" s="35" t="str">
        <f t="shared" si="2"/>
        <v/>
      </c>
      <c r="N60" s="34">
        <v>55</v>
      </c>
      <c r="O60" s="33" t="str">
        <f t="shared" si="3"/>
        <v/>
      </c>
    </row>
    <row r="61" spans="2:15" x14ac:dyDescent="0.25">
      <c r="B61" s="35" t="str">
        <f>IF(Control!$O64="","",INDEX(MemberOrg_Data[CFDA], Control!$O64))</f>
        <v/>
      </c>
      <c r="C61" s="35" t="str">
        <f t="array" ref="C61">IFERROR(INDEX(MemberOrg_Data[FEDERALPROGRAMNAME], MATCH(1, (SelectMemberOrg = MemberOrg_Data[Auditee Name])*(B61 = MemberOrg_Data[CFDA]), 0)), "")</f>
        <v/>
      </c>
      <c r="D61" s="36" t="str">
        <f>IFERROR(IF(B61 &lt;&gt; "", SUMIFS(MemberOrg_Data[Total Amount], MemberOrg_Data[Auditee Name], SelectMemberOrg, MemberOrg_Data[CFDA], B61), ""), "")</f>
        <v/>
      </c>
      <c r="E61" s="37" t="str">
        <f>IFERROR(INDEX(BudgetApprop_Data[President: % Change from 2019], MATCH(B61, BudgetApprop_Data[CFDA], 0)), "")</f>
        <v/>
      </c>
      <c r="F61" s="36" t="str">
        <f t="shared" si="0"/>
        <v/>
      </c>
      <c r="G61" s="46" t="str">
        <f>IFERROR(INDEX(BudgetApprop_Data[House: % Change from 2019], MATCH(FPWA_HelperTable[[#This Row],[CFDA]], BudgetApprop_Data[CFDA], 0)), "")</f>
        <v/>
      </c>
      <c r="H61" s="36" t="str">
        <f t="shared" si="1"/>
        <v/>
      </c>
      <c r="I61" s="35" t="str">
        <f>IF(B61 = "", "", IF(FPWA_HelperTable[[#This Row],[President $ Change]]&lt;&gt;"", RANK(F61, $F$6:$F$262)+COUNTIF($F$6:F61, F61)-1, 0))</f>
        <v/>
      </c>
      <c r="J61" s="35" t="str">
        <f>IFERROR((IF(I61= 0, COUNTIF($I$6:I61, 0), "")+MAX($I$6:$I$262)), "")</f>
        <v/>
      </c>
      <c r="K61" s="35" t="str">
        <f t="shared" si="2"/>
        <v/>
      </c>
      <c r="N61" s="34">
        <v>56</v>
      </c>
      <c r="O61" s="33" t="str">
        <f t="shared" si="3"/>
        <v/>
      </c>
    </row>
    <row r="62" spans="2:15" x14ac:dyDescent="0.25">
      <c r="B62" s="35" t="str">
        <f>IF(Control!$O65="","",INDEX(MemberOrg_Data[CFDA], Control!$O65))</f>
        <v/>
      </c>
      <c r="C62" s="35" t="str">
        <f t="array" ref="C62">IFERROR(INDEX(MemberOrg_Data[FEDERALPROGRAMNAME], MATCH(1, (SelectMemberOrg = MemberOrg_Data[Auditee Name])*(B62 = MemberOrg_Data[CFDA]), 0)), "")</f>
        <v/>
      </c>
      <c r="D62" s="36" t="str">
        <f>IFERROR(IF(B62 &lt;&gt; "", SUMIFS(MemberOrg_Data[Total Amount], MemberOrg_Data[Auditee Name], SelectMemberOrg, MemberOrg_Data[CFDA], B62), ""), "")</f>
        <v/>
      </c>
      <c r="E62" s="37" t="str">
        <f>IFERROR(INDEX(BudgetApprop_Data[President: % Change from 2019], MATCH(B62, BudgetApprop_Data[CFDA], 0)), "")</f>
        <v/>
      </c>
      <c r="F62" s="36" t="str">
        <f t="shared" si="0"/>
        <v/>
      </c>
      <c r="G62" s="46" t="str">
        <f>IFERROR(INDEX(BudgetApprop_Data[House: % Change from 2019], MATCH(FPWA_HelperTable[[#This Row],[CFDA]], BudgetApprop_Data[CFDA], 0)), "")</f>
        <v/>
      </c>
      <c r="H62" s="36" t="str">
        <f t="shared" si="1"/>
        <v/>
      </c>
      <c r="I62" s="35" t="str">
        <f>IF(B62 = "", "", IF(FPWA_HelperTable[[#This Row],[President $ Change]]&lt;&gt;"", RANK(F62, $F$6:$F$262)+COUNTIF($F$6:F62, F62)-1, 0))</f>
        <v/>
      </c>
      <c r="J62" s="35" t="str">
        <f>IFERROR((IF(I62= 0, COUNTIF($I$6:I62, 0), "")+MAX($I$6:$I$262)), "")</f>
        <v/>
      </c>
      <c r="K62" s="35" t="str">
        <f t="shared" si="2"/>
        <v/>
      </c>
      <c r="N62" s="34">
        <v>57</v>
      </c>
      <c r="O62" s="33" t="str">
        <f t="shared" si="3"/>
        <v/>
      </c>
    </row>
    <row r="63" spans="2:15" x14ac:dyDescent="0.25">
      <c r="B63" s="35" t="str">
        <f>IF(Control!$O66="","",INDEX(MemberOrg_Data[CFDA], Control!$O66))</f>
        <v/>
      </c>
      <c r="C63" s="35" t="str">
        <f t="array" ref="C63">IFERROR(INDEX(MemberOrg_Data[FEDERALPROGRAMNAME], MATCH(1, (SelectMemberOrg = MemberOrg_Data[Auditee Name])*(B63 = MemberOrg_Data[CFDA]), 0)), "")</f>
        <v/>
      </c>
      <c r="D63" s="36" t="str">
        <f>IFERROR(IF(B63 &lt;&gt; "", SUMIFS(MemberOrg_Data[Total Amount], MemberOrg_Data[Auditee Name], SelectMemberOrg, MemberOrg_Data[CFDA], B63), ""), "")</f>
        <v/>
      </c>
      <c r="E63" s="37" t="str">
        <f>IFERROR(INDEX(BudgetApprop_Data[President: % Change from 2019], MATCH(B63, BudgetApprop_Data[CFDA], 0)), "")</f>
        <v/>
      </c>
      <c r="F63" s="36" t="str">
        <f t="shared" si="0"/>
        <v/>
      </c>
      <c r="G63" s="46" t="str">
        <f>IFERROR(INDEX(BudgetApprop_Data[House: % Change from 2019], MATCH(FPWA_HelperTable[[#This Row],[CFDA]], BudgetApprop_Data[CFDA], 0)), "")</f>
        <v/>
      </c>
      <c r="H63" s="36" t="str">
        <f t="shared" si="1"/>
        <v/>
      </c>
      <c r="I63" s="35" t="str">
        <f>IF(B63 = "", "", IF(FPWA_HelperTable[[#This Row],[President $ Change]]&lt;&gt;"", RANK(F63, $F$6:$F$262)+COUNTIF($F$6:F63, F63)-1, 0))</f>
        <v/>
      </c>
      <c r="J63" s="35" t="str">
        <f>IFERROR((IF(I63= 0, COUNTIF($I$6:I63, 0), "")+MAX($I$6:$I$262)), "")</f>
        <v/>
      </c>
      <c r="K63" s="35" t="str">
        <f t="shared" si="2"/>
        <v/>
      </c>
      <c r="N63" s="34">
        <v>58</v>
      </c>
      <c r="O63" s="33" t="str">
        <f t="shared" si="3"/>
        <v/>
      </c>
    </row>
    <row r="64" spans="2:15" x14ac:dyDescent="0.25">
      <c r="B64" s="35" t="str">
        <f>IF(Control!$O67="","",INDEX(MemberOrg_Data[CFDA], Control!$O67))</f>
        <v/>
      </c>
      <c r="C64" s="35" t="str">
        <f t="array" ref="C64">IFERROR(INDEX(MemberOrg_Data[FEDERALPROGRAMNAME], MATCH(1, (SelectMemberOrg = MemberOrg_Data[Auditee Name])*(B64 = MemberOrg_Data[CFDA]), 0)), "")</f>
        <v/>
      </c>
      <c r="D64" s="36" t="str">
        <f>IFERROR(IF(B64 &lt;&gt; "", SUMIFS(MemberOrg_Data[Total Amount], MemberOrg_Data[Auditee Name], SelectMemberOrg, MemberOrg_Data[CFDA], B64), ""), "")</f>
        <v/>
      </c>
      <c r="E64" s="37" t="str">
        <f>IFERROR(INDEX(BudgetApprop_Data[President: % Change from 2019], MATCH(B64, BudgetApprop_Data[CFDA], 0)), "")</f>
        <v/>
      </c>
      <c r="F64" s="36" t="str">
        <f t="shared" si="0"/>
        <v/>
      </c>
      <c r="G64" s="46" t="str">
        <f>IFERROR(INDEX(BudgetApprop_Data[House: % Change from 2019], MATCH(FPWA_HelperTable[[#This Row],[CFDA]], BudgetApprop_Data[CFDA], 0)), "")</f>
        <v/>
      </c>
      <c r="H64" s="36" t="str">
        <f t="shared" si="1"/>
        <v/>
      </c>
      <c r="I64" s="35" t="str">
        <f>IF(B64 = "", "", IF(FPWA_HelperTable[[#This Row],[President $ Change]]&lt;&gt;"", RANK(F64, $F$6:$F$262)+COUNTIF($F$6:F64, F64)-1, 0))</f>
        <v/>
      </c>
      <c r="J64" s="35" t="str">
        <f>IFERROR((IF(I64= 0, COUNTIF($I$6:I64, 0), "")+MAX($I$6:$I$262)), "")</f>
        <v/>
      </c>
      <c r="K64" s="35" t="str">
        <f t="shared" si="2"/>
        <v/>
      </c>
      <c r="N64" s="34">
        <v>59</v>
      </c>
      <c r="O64" s="33" t="str">
        <f t="shared" si="3"/>
        <v/>
      </c>
    </row>
    <row r="65" spans="2:15" x14ac:dyDescent="0.25">
      <c r="B65" s="35" t="str">
        <f>IF(Control!$O68="","",INDEX(MemberOrg_Data[CFDA], Control!$O68))</f>
        <v/>
      </c>
      <c r="C65" s="35" t="str">
        <f t="array" ref="C65">IFERROR(INDEX(MemberOrg_Data[FEDERALPROGRAMNAME], MATCH(1, (SelectMemberOrg = MemberOrg_Data[Auditee Name])*(B65 = MemberOrg_Data[CFDA]), 0)), "")</f>
        <v/>
      </c>
      <c r="D65" s="36" t="str">
        <f>IFERROR(IF(B65 &lt;&gt; "", SUMIFS(MemberOrg_Data[Total Amount], MemberOrg_Data[Auditee Name], SelectMemberOrg, MemberOrg_Data[CFDA], B65), ""), "")</f>
        <v/>
      </c>
      <c r="E65" s="37" t="str">
        <f>IFERROR(INDEX(BudgetApprop_Data[President: % Change from 2019], MATCH(B65, BudgetApprop_Data[CFDA], 0)), "")</f>
        <v/>
      </c>
      <c r="F65" s="36" t="str">
        <f t="shared" si="0"/>
        <v/>
      </c>
      <c r="G65" s="46" t="str">
        <f>IFERROR(INDEX(BudgetApprop_Data[House: % Change from 2019], MATCH(FPWA_HelperTable[[#This Row],[CFDA]], BudgetApprop_Data[CFDA], 0)), "")</f>
        <v/>
      </c>
      <c r="H65" s="36" t="str">
        <f t="shared" si="1"/>
        <v/>
      </c>
      <c r="I65" s="35" t="str">
        <f>IF(B65 = "", "", IF(FPWA_HelperTable[[#This Row],[President $ Change]]&lt;&gt;"", RANK(F65, $F$6:$F$262)+COUNTIF($F$6:F65, F65)-1, 0))</f>
        <v/>
      </c>
      <c r="J65" s="35" t="str">
        <f>IFERROR((IF(I65= 0, COUNTIF($I$6:I65, 0), "")+MAX($I$6:$I$262)), "")</f>
        <v/>
      </c>
      <c r="K65" s="35" t="str">
        <f t="shared" si="2"/>
        <v/>
      </c>
      <c r="N65" s="34">
        <v>60</v>
      </c>
      <c r="O65" s="33" t="str">
        <f t="shared" si="3"/>
        <v/>
      </c>
    </row>
    <row r="66" spans="2:15" x14ac:dyDescent="0.25">
      <c r="B66" s="35" t="str">
        <f>IF(Control!$O69="","",INDEX(MemberOrg_Data[CFDA], Control!$O69))</f>
        <v/>
      </c>
      <c r="C66" s="35" t="str">
        <f t="array" ref="C66">IFERROR(INDEX(MemberOrg_Data[FEDERALPROGRAMNAME], MATCH(1, (SelectMemberOrg = MemberOrg_Data[Auditee Name])*(B66 = MemberOrg_Data[CFDA]), 0)), "")</f>
        <v/>
      </c>
      <c r="D66" s="36" t="str">
        <f>IFERROR(IF(B66 &lt;&gt; "", SUMIFS(MemberOrg_Data[Total Amount], MemberOrg_Data[Auditee Name], SelectMemberOrg, MemberOrg_Data[CFDA], B66), ""), "")</f>
        <v/>
      </c>
      <c r="E66" s="37" t="str">
        <f>IFERROR(INDEX(BudgetApprop_Data[President: % Change from 2019], MATCH(B66, BudgetApprop_Data[CFDA], 0)), "")</f>
        <v/>
      </c>
      <c r="F66" s="36" t="str">
        <f t="shared" si="0"/>
        <v/>
      </c>
      <c r="G66" s="46" t="str">
        <f>IFERROR(INDEX(BudgetApprop_Data[House: % Change from 2019], MATCH(FPWA_HelperTable[[#This Row],[CFDA]], BudgetApprop_Data[CFDA], 0)), "")</f>
        <v/>
      </c>
      <c r="H66" s="36" t="str">
        <f t="shared" si="1"/>
        <v/>
      </c>
      <c r="I66" s="35" t="str">
        <f>IF(B66 = "", "", IF(FPWA_HelperTable[[#This Row],[President $ Change]]&lt;&gt;"", RANK(F66, $F$6:$F$262)+COUNTIF($F$6:F66, F66)-1, 0))</f>
        <v/>
      </c>
      <c r="J66" s="35" t="str">
        <f>IFERROR((IF(I66= 0, COUNTIF($I$6:I66, 0), "")+MAX($I$6:$I$262)), "")</f>
        <v/>
      </c>
      <c r="K66" s="35" t="str">
        <f t="shared" si="2"/>
        <v/>
      </c>
      <c r="N66" s="34">
        <v>61</v>
      </c>
      <c r="O66" s="33" t="str">
        <f t="shared" si="3"/>
        <v/>
      </c>
    </row>
    <row r="67" spans="2:15" x14ac:dyDescent="0.25">
      <c r="B67" s="35" t="str">
        <f>IF(Control!$O70="","",INDEX(MemberOrg_Data[CFDA], Control!$O70))</f>
        <v/>
      </c>
      <c r="C67" s="35" t="str">
        <f t="array" ref="C67">IFERROR(INDEX(MemberOrg_Data[FEDERALPROGRAMNAME], MATCH(1, (SelectMemberOrg = MemberOrg_Data[Auditee Name])*(B67 = MemberOrg_Data[CFDA]), 0)), "")</f>
        <v/>
      </c>
      <c r="D67" s="36" t="str">
        <f>IFERROR(IF(B67 &lt;&gt; "", SUMIFS(MemberOrg_Data[Total Amount], MemberOrg_Data[Auditee Name], SelectMemberOrg, MemberOrg_Data[CFDA], B67), ""), "")</f>
        <v/>
      </c>
      <c r="E67" s="37" t="str">
        <f>IFERROR(INDEX(BudgetApprop_Data[President: % Change from 2019], MATCH(B67, BudgetApprop_Data[CFDA], 0)), "")</f>
        <v/>
      </c>
      <c r="F67" s="36" t="str">
        <f t="shared" si="0"/>
        <v/>
      </c>
      <c r="G67" s="46" t="str">
        <f>IFERROR(INDEX(BudgetApprop_Data[House: % Change from 2019], MATCH(FPWA_HelperTable[[#This Row],[CFDA]], BudgetApprop_Data[CFDA], 0)), "")</f>
        <v/>
      </c>
      <c r="H67" s="36" t="str">
        <f t="shared" si="1"/>
        <v/>
      </c>
      <c r="I67" s="35" t="str">
        <f>IF(B67 = "", "", IF(FPWA_HelperTable[[#This Row],[President $ Change]]&lt;&gt;"", RANK(F67, $F$6:$F$262)+COUNTIF($F$6:F67, F67)-1, 0))</f>
        <v/>
      </c>
      <c r="J67" s="35" t="str">
        <f>IFERROR((IF(I67= 0, COUNTIF($I$6:I67, 0), "")+MAX($I$6:$I$262)), "")</f>
        <v/>
      </c>
      <c r="K67" s="35" t="str">
        <f t="shared" si="2"/>
        <v/>
      </c>
      <c r="N67" s="34">
        <v>62</v>
      </c>
      <c r="O67" s="33" t="str">
        <f t="shared" si="3"/>
        <v/>
      </c>
    </row>
    <row r="68" spans="2:15" x14ac:dyDescent="0.25">
      <c r="B68" s="35" t="str">
        <f>IF(Control!$O71="","",INDEX(MemberOrg_Data[CFDA], Control!$O71))</f>
        <v/>
      </c>
      <c r="C68" s="35" t="str">
        <f t="array" ref="C68">IFERROR(INDEX(MemberOrg_Data[FEDERALPROGRAMNAME], MATCH(1, (SelectMemberOrg = MemberOrg_Data[Auditee Name])*(B68 = MemberOrg_Data[CFDA]), 0)), "")</f>
        <v/>
      </c>
      <c r="D68" s="36" t="str">
        <f>IFERROR(IF(B68 &lt;&gt; "", SUMIFS(MemberOrg_Data[Total Amount], MemberOrg_Data[Auditee Name], SelectMemberOrg, MemberOrg_Data[CFDA], B68), ""), "")</f>
        <v/>
      </c>
      <c r="E68" s="37" t="str">
        <f>IFERROR(INDEX(BudgetApprop_Data[President: % Change from 2019], MATCH(B68, BudgetApprop_Data[CFDA], 0)), "")</f>
        <v/>
      </c>
      <c r="F68" s="36" t="str">
        <f t="shared" si="0"/>
        <v/>
      </c>
      <c r="G68" s="46" t="str">
        <f>IFERROR(INDEX(BudgetApprop_Data[House: % Change from 2019], MATCH(FPWA_HelperTable[[#This Row],[CFDA]], BudgetApprop_Data[CFDA], 0)), "")</f>
        <v/>
      </c>
      <c r="H68" s="36" t="str">
        <f t="shared" si="1"/>
        <v/>
      </c>
      <c r="I68" s="35" t="str">
        <f>IF(B68 = "", "", IF(FPWA_HelperTable[[#This Row],[President $ Change]]&lt;&gt;"", RANK(F68, $F$6:$F$262)+COUNTIF($F$6:F68, F68)-1, 0))</f>
        <v/>
      </c>
      <c r="J68" s="35" t="str">
        <f>IFERROR((IF(I68= 0, COUNTIF($I$6:I68, 0), "")+MAX($I$6:$I$262)), "")</f>
        <v/>
      </c>
      <c r="K68" s="35" t="str">
        <f t="shared" si="2"/>
        <v/>
      </c>
      <c r="N68" s="34">
        <v>63</v>
      </c>
      <c r="O68" s="33" t="str">
        <f t="shared" si="3"/>
        <v/>
      </c>
    </row>
    <row r="69" spans="2:15" x14ac:dyDescent="0.25">
      <c r="B69" s="35" t="str">
        <f>IF(Control!$O72="","",INDEX(MemberOrg_Data[CFDA], Control!$O72))</f>
        <v/>
      </c>
      <c r="C69" s="35" t="str">
        <f t="array" ref="C69">IFERROR(INDEX(MemberOrg_Data[FEDERALPROGRAMNAME], MATCH(1, (SelectMemberOrg = MemberOrg_Data[Auditee Name])*(B69 = MemberOrg_Data[CFDA]), 0)), "")</f>
        <v/>
      </c>
      <c r="D69" s="36" t="str">
        <f>IFERROR(IF(B69 &lt;&gt; "", SUMIFS(MemberOrg_Data[Total Amount], MemberOrg_Data[Auditee Name], SelectMemberOrg, MemberOrg_Data[CFDA], B69), ""), "")</f>
        <v/>
      </c>
      <c r="E69" s="37" t="str">
        <f>IFERROR(INDEX(BudgetApprop_Data[President: % Change from 2019], MATCH(B69, BudgetApprop_Data[CFDA], 0)), "")</f>
        <v/>
      </c>
      <c r="F69" s="36" t="str">
        <f t="shared" si="0"/>
        <v/>
      </c>
      <c r="G69" s="46" t="str">
        <f>IFERROR(INDEX(BudgetApprop_Data[House: % Change from 2019], MATCH(FPWA_HelperTable[[#This Row],[CFDA]], BudgetApprop_Data[CFDA], 0)), "")</f>
        <v/>
      </c>
      <c r="H69" s="36" t="str">
        <f t="shared" si="1"/>
        <v/>
      </c>
      <c r="I69" s="35" t="str">
        <f>IF(B69 = "", "", IF(FPWA_HelperTable[[#This Row],[President $ Change]]&lt;&gt;"", RANK(F69, $F$6:$F$262)+COUNTIF($F$6:F69, F69)-1, 0))</f>
        <v/>
      </c>
      <c r="J69" s="35" t="str">
        <f>IFERROR((IF(I69= 0, COUNTIF($I$6:I69, 0), "")+MAX($I$6:$I$262)), "")</f>
        <v/>
      </c>
      <c r="K69" s="35" t="str">
        <f t="shared" si="2"/>
        <v/>
      </c>
      <c r="N69" s="34">
        <v>64</v>
      </c>
      <c r="O69" s="33" t="str">
        <f t="shared" si="3"/>
        <v/>
      </c>
    </row>
    <row r="70" spans="2:15" x14ac:dyDescent="0.25">
      <c r="B70" s="35" t="str">
        <f>IF(Control!$O73="","",INDEX(MemberOrg_Data[CFDA], Control!$O73))</f>
        <v/>
      </c>
      <c r="C70" s="35" t="str">
        <f t="array" ref="C70">IFERROR(INDEX(MemberOrg_Data[FEDERALPROGRAMNAME], MATCH(1, (SelectMemberOrg = MemberOrg_Data[Auditee Name])*(B70 = MemberOrg_Data[CFDA]), 0)), "")</f>
        <v/>
      </c>
      <c r="D70" s="36" t="str">
        <f>IFERROR(IF(B70 &lt;&gt; "", SUMIFS(MemberOrg_Data[Total Amount], MemberOrg_Data[Auditee Name], SelectMemberOrg, MemberOrg_Data[CFDA], B70), ""), "")</f>
        <v/>
      </c>
      <c r="E70" s="37" t="str">
        <f>IFERROR(INDEX(BudgetApprop_Data[President: % Change from 2019], MATCH(B70, BudgetApprop_Data[CFDA], 0)), "")</f>
        <v/>
      </c>
      <c r="F70" s="36" t="str">
        <f t="shared" ref="F70:F133" si="4">IFERROR(IF(B70&lt;&gt;"", D70*E70, ""), "" )</f>
        <v/>
      </c>
      <c r="G70" s="46" t="str">
        <f>IFERROR(INDEX(BudgetApprop_Data[House: % Change from 2019], MATCH(FPWA_HelperTable[[#This Row],[CFDA]], BudgetApprop_Data[CFDA], 0)), "")</f>
        <v/>
      </c>
      <c r="H70" s="36" t="str">
        <f t="shared" si="1"/>
        <v/>
      </c>
      <c r="I70" s="35" t="str">
        <f>IF(B70 = "", "", IF(FPWA_HelperTable[[#This Row],[President $ Change]]&lt;&gt;"", RANK(F70, $F$6:$F$262)+COUNTIF($F$6:F70, F70)-1, 0))</f>
        <v/>
      </c>
      <c r="J70" s="35" t="str">
        <f>IFERROR((IF(I70= 0, COUNTIF($I$6:I70, 0), "")+MAX($I$6:$I$262)), "")</f>
        <v/>
      </c>
      <c r="K70" s="35" t="str">
        <f t="shared" si="2"/>
        <v/>
      </c>
      <c r="N70" s="34">
        <v>65</v>
      </c>
      <c r="O70" s="33" t="str">
        <f t="shared" si="3"/>
        <v/>
      </c>
    </row>
    <row r="71" spans="2:15" x14ac:dyDescent="0.25">
      <c r="B71" s="35" t="str">
        <f>IF(Control!$O74="","",INDEX(MemberOrg_Data[CFDA], Control!$O74))</f>
        <v/>
      </c>
      <c r="C71" s="35" t="str">
        <f t="array" ref="C71">IFERROR(INDEX(MemberOrg_Data[FEDERALPROGRAMNAME], MATCH(1, (SelectMemberOrg = MemberOrg_Data[Auditee Name])*(B71 = MemberOrg_Data[CFDA]), 0)), "")</f>
        <v/>
      </c>
      <c r="D71" s="36" t="str">
        <f>IFERROR(IF(B71 &lt;&gt; "", SUMIFS(MemberOrg_Data[Total Amount], MemberOrg_Data[Auditee Name], SelectMemberOrg, MemberOrg_Data[CFDA], B71), ""), "")</f>
        <v/>
      </c>
      <c r="E71" s="37" t="str">
        <f>IFERROR(INDEX(BudgetApprop_Data[President: % Change from 2019], MATCH(B71, BudgetApprop_Data[CFDA], 0)), "")</f>
        <v/>
      </c>
      <c r="F71" s="36" t="str">
        <f t="shared" si="4"/>
        <v/>
      </c>
      <c r="G71" s="46" t="str">
        <f>IFERROR(INDEX(BudgetApprop_Data[House: % Change from 2019], MATCH(FPWA_HelperTable[[#This Row],[CFDA]], BudgetApprop_Data[CFDA], 0)), "")</f>
        <v/>
      </c>
      <c r="H71" s="36" t="str">
        <f t="shared" ref="H71:H134" si="5">IFERROR(IF(B71&lt;&gt; "", D71*G71, ""), "")</f>
        <v/>
      </c>
      <c r="I71" s="35" t="str">
        <f>IF(B71 = "", "", IF(FPWA_HelperTable[[#This Row],[President $ Change]]&lt;&gt;"", RANK(F71, $F$6:$F$262)+COUNTIF($F$6:F71, F71)-1, 0))</f>
        <v/>
      </c>
      <c r="J71" s="35" t="str">
        <f>IFERROR((IF(I71= 0, COUNTIF($I$6:I71, 0), "")+MAX($I$6:$I$262)), "")</f>
        <v/>
      </c>
      <c r="K71" s="35" t="str">
        <f t="shared" ref="K71:K134" si="6">IF(B71&lt;&gt; "", SUM(I71, J71), "")</f>
        <v/>
      </c>
      <c r="N71" s="34">
        <v>66</v>
      </c>
      <c r="O71" s="33" t="str">
        <f t="shared" ref="O71:O134" si="7">IFERROR(INDEX($B$6:$B$262, MATCH(N71, $K$6:$K$262, 0)), "")</f>
        <v/>
      </c>
    </row>
    <row r="72" spans="2:15" x14ac:dyDescent="0.25">
      <c r="B72" s="35" t="str">
        <f>IF(Control!$O75="","",INDEX(MemberOrg_Data[CFDA], Control!$O75))</f>
        <v/>
      </c>
      <c r="C72" s="35" t="str">
        <f t="array" ref="C72">IFERROR(INDEX(MemberOrg_Data[FEDERALPROGRAMNAME], MATCH(1, (SelectMemberOrg = MemberOrg_Data[Auditee Name])*(B72 = MemberOrg_Data[CFDA]), 0)), "")</f>
        <v/>
      </c>
      <c r="D72" s="36" t="str">
        <f>IFERROR(IF(B72 &lt;&gt; "", SUMIFS(MemberOrg_Data[Total Amount], MemberOrg_Data[Auditee Name], SelectMemberOrg, MemberOrg_Data[CFDA], B72), ""), "")</f>
        <v/>
      </c>
      <c r="E72" s="37" t="str">
        <f>IFERROR(INDEX(BudgetApprop_Data[President: % Change from 2019], MATCH(B72, BudgetApprop_Data[CFDA], 0)), "")</f>
        <v/>
      </c>
      <c r="F72" s="36" t="str">
        <f t="shared" si="4"/>
        <v/>
      </c>
      <c r="G72" s="46" t="str">
        <f>IFERROR(INDEX(BudgetApprop_Data[House: % Change from 2019], MATCH(FPWA_HelperTable[[#This Row],[CFDA]], BudgetApprop_Data[CFDA], 0)), "")</f>
        <v/>
      </c>
      <c r="H72" s="36" t="str">
        <f t="shared" si="5"/>
        <v/>
      </c>
      <c r="I72" s="35" t="str">
        <f>IF(B72 = "", "", IF(FPWA_HelperTable[[#This Row],[President $ Change]]&lt;&gt;"", RANK(F72, $F$6:$F$262)+COUNTIF($F$6:F72, F72)-1, 0))</f>
        <v/>
      </c>
      <c r="J72" s="35" t="str">
        <f>IFERROR((IF(I72= 0, COUNTIF($I$6:I72, 0), "")+MAX($I$6:$I$262)), "")</f>
        <v/>
      </c>
      <c r="K72" s="35" t="str">
        <f t="shared" si="6"/>
        <v/>
      </c>
      <c r="N72" s="34">
        <v>67</v>
      </c>
      <c r="O72" s="33" t="str">
        <f t="shared" si="7"/>
        <v/>
      </c>
    </row>
    <row r="73" spans="2:15" x14ac:dyDescent="0.25">
      <c r="B73" s="35" t="str">
        <f>IF(Control!$O76="","",INDEX(MemberOrg_Data[CFDA], Control!$O76))</f>
        <v/>
      </c>
      <c r="C73" s="35" t="str">
        <f t="array" ref="C73">IFERROR(INDEX(MemberOrg_Data[FEDERALPROGRAMNAME], MATCH(1, (SelectMemberOrg = MemberOrg_Data[Auditee Name])*(B73 = MemberOrg_Data[CFDA]), 0)), "")</f>
        <v/>
      </c>
      <c r="D73" s="36" t="str">
        <f>IFERROR(IF(B73 &lt;&gt; "", SUMIFS(MemberOrg_Data[Total Amount], MemberOrg_Data[Auditee Name], SelectMemberOrg, MemberOrg_Data[CFDA], B73), ""), "")</f>
        <v/>
      </c>
      <c r="E73" s="37" t="str">
        <f>IFERROR(INDEX(BudgetApprop_Data[President: % Change from 2019], MATCH(B73, BudgetApprop_Data[CFDA], 0)), "")</f>
        <v/>
      </c>
      <c r="F73" s="36" t="str">
        <f t="shared" si="4"/>
        <v/>
      </c>
      <c r="G73" s="46" t="str">
        <f>IFERROR(INDEX(BudgetApprop_Data[House: % Change from 2019], MATCH(FPWA_HelperTable[[#This Row],[CFDA]], BudgetApprop_Data[CFDA], 0)), "")</f>
        <v/>
      </c>
      <c r="H73" s="36" t="str">
        <f t="shared" si="5"/>
        <v/>
      </c>
      <c r="I73" s="35" t="str">
        <f>IF(B73 = "", "", IF(FPWA_HelperTable[[#This Row],[President $ Change]]&lt;&gt;"", RANK(F73, $F$6:$F$262)+COUNTIF($F$6:F73, F73)-1, 0))</f>
        <v/>
      </c>
      <c r="J73" s="35" t="str">
        <f>IFERROR((IF(I73= 0, COUNTIF($I$6:I73, 0), "")+MAX($I$6:$I$262)), "")</f>
        <v/>
      </c>
      <c r="K73" s="35" t="str">
        <f t="shared" si="6"/>
        <v/>
      </c>
      <c r="N73" s="34">
        <v>68</v>
      </c>
      <c r="O73" s="33" t="str">
        <f t="shared" si="7"/>
        <v/>
      </c>
    </row>
    <row r="74" spans="2:15" x14ac:dyDescent="0.25">
      <c r="B74" s="35" t="str">
        <f>IF(Control!$O77="","",INDEX(MemberOrg_Data[CFDA], Control!$O77))</f>
        <v/>
      </c>
      <c r="C74" s="35" t="str">
        <f t="array" ref="C74">IFERROR(INDEX(MemberOrg_Data[FEDERALPROGRAMNAME], MATCH(1, (SelectMemberOrg = MemberOrg_Data[Auditee Name])*(B74 = MemberOrg_Data[CFDA]), 0)), "")</f>
        <v/>
      </c>
      <c r="D74" s="36" t="str">
        <f>IFERROR(IF(B74 &lt;&gt; "", SUMIFS(MemberOrg_Data[Total Amount], MemberOrg_Data[Auditee Name], SelectMemberOrg, MemberOrg_Data[CFDA], B74), ""), "")</f>
        <v/>
      </c>
      <c r="E74" s="37" t="str">
        <f>IFERROR(INDEX(BudgetApprop_Data[President: % Change from 2019], MATCH(B74, BudgetApprop_Data[CFDA], 0)), "")</f>
        <v/>
      </c>
      <c r="F74" s="36" t="str">
        <f t="shared" si="4"/>
        <v/>
      </c>
      <c r="G74" s="46" t="str">
        <f>IFERROR(INDEX(BudgetApprop_Data[House: % Change from 2019], MATCH(FPWA_HelperTable[[#This Row],[CFDA]], BudgetApprop_Data[CFDA], 0)), "")</f>
        <v/>
      </c>
      <c r="H74" s="36" t="str">
        <f t="shared" si="5"/>
        <v/>
      </c>
      <c r="I74" s="35" t="str">
        <f>IF(B74 = "", "", IF(FPWA_HelperTable[[#This Row],[President $ Change]]&lt;&gt;"", RANK(F74, $F$6:$F$262)+COUNTIF($F$6:F74, F74)-1, 0))</f>
        <v/>
      </c>
      <c r="J74" s="35" t="str">
        <f>IFERROR((IF(I74= 0, COUNTIF($I$6:I74, 0), "")+MAX($I$6:$I$262)), "")</f>
        <v/>
      </c>
      <c r="K74" s="35" t="str">
        <f t="shared" si="6"/>
        <v/>
      </c>
      <c r="N74" s="34">
        <v>69</v>
      </c>
      <c r="O74" s="33" t="str">
        <f t="shared" si="7"/>
        <v/>
      </c>
    </row>
    <row r="75" spans="2:15" x14ac:dyDescent="0.25">
      <c r="B75" s="35" t="str">
        <f>IF(Control!$O78="","",INDEX(MemberOrg_Data[CFDA], Control!$O78))</f>
        <v/>
      </c>
      <c r="C75" s="35" t="str">
        <f t="array" ref="C75">IFERROR(INDEX(MemberOrg_Data[FEDERALPROGRAMNAME], MATCH(1, (SelectMemberOrg = MemberOrg_Data[Auditee Name])*(B75 = MemberOrg_Data[CFDA]), 0)), "")</f>
        <v/>
      </c>
      <c r="D75" s="36" t="str">
        <f>IFERROR(IF(B75 &lt;&gt; "", SUMIFS(MemberOrg_Data[Total Amount], MemberOrg_Data[Auditee Name], SelectMemberOrg, MemberOrg_Data[CFDA], B75), ""), "")</f>
        <v/>
      </c>
      <c r="E75" s="37" t="str">
        <f>IFERROR(INDEX(BudgetApprop_Data[President: % Change from 2019], MATCH(B75, BudgetApprop_Data[CFDA], 0)), "")</f>
        <v/>
      </c>
      <c r="F75" s="36" t="str">
        <f t="shared" si="4"/>
        <v/>
      </c>
      <c r="G75" s="46" t="str">
        <f>IFERROR(INDEX(BudgetApprop_Data[House: % Change from 2019], MATCH(FPWA_HelperTable[[#This Row],[CFDA]], BudgetApprop_Data[CFDA], 0)), "")</f>
        <v/>
      </c>
      <c r="H75" s="36" t="str">
        <f t="shared" si="5"/>
        <v/>
      </c>
      <c r="I75" s="35" t="str">
        <f>IF(B75 = "", "", IF(FPWA_HelperTable[[#This Row],[President $ Change]]&lt;&gt;"", RANK(F75, $F$6:$F$262)+COUNTIF($F$6:F75, F75)-1, 0))</f>
        <v/>
      </c>
      <c r="J75" s="35" t="str">
        <f>IFERROR((IF(I75= 0, COUNTIF($I$6:I75, 0), "")+MAX($I$6:$I$262)), "")</f>
        <v/>
      </c>
      <c r="K75" s="35" t="str">
        <f t="shared" si="6"/>
        <v/>
      </c>
      <c r="N75" s="34">
        <v>70</v>
      </c>
      <c r="O75" s="33" t="str">
        <f t="shared" si="7"/>
        <v/>
      </c>
    </row>
    <row r="76" spans="2:15" x14ac:dyDescent="0.25">
      <c r="B76" s="35" t="str">
        <f>IF(Control!$O79="","",INDEX(MemberOrg_Data[CFDA], Control!$O79))</f>
        <v/>
      </c>
      <c r="C76" s="35" t="str">
        <f t="array" ref="C76">IFERROR(INDEX(MemberOrg_Data[FEDERALPROGRAMNAME], MATCH(1, (SelectMemberOrg = MemberOrg_Data[Auditee Name])*(B76 = MemberOrg_Data[CFDA]), 0)), "")</f>
        <v/>
      </c>
      <c r="D76" s="36" t="str">
        <f>IFERROR(IF(B76 &lt;&gt; "", SUMIFS(MemberOrg_Data[Total Amount], MemberOrg_Data[Auditee Name], SelectMemberOrg, MemberOrg_Data[CFDA], B76), ""), "")</f>
        <v/>
      </c>
      <c r="E76" s="37" t="str">
        <f>IFERROR(INDEX(BudgetApprop_Data[President: % Change from 2019], MATCH(B76, BudgetApprop_Data[CFDA], 0)), "")</f>
        <v/>
      </c>
      <c r="F76" s="36" t="str">
        <f t="shared" si="4"/>
        <v/>
      </c>
      <c r="G76" s="46" t="str">
        <f>IFERROR(INDEX(BudgetApprop_Data[House: % Change from 2019], MATCH(FPWA_HelperTable[[#This Row],[CFDA]], BudgetApprop_Data[CFDA], 0)), "")</f>
        <v/>
      </c>
      <c r="H76" s="36" t="str">
        <f t="shared" si="5"/>
        <v/>
      </c>
      <c r="I76" s="35" t="str">
        <f>IF(B76 = "", "", IF(FPWA_HelperTable[[#This Row],[President $ Change]]&lt;&gt;"", RANK(F76, $F$6:$F$262)+COUNTIF($F$6:F76, F76)-1, 0))</f>
        <v/>
      </c>
      <c r="J76" s="35" t="str">
        <f>IFERROR((IF(I76= 0, COUNTIF($I$6:I76, 0), "")+MAX($I$6:$I$262)), "")</f>
        <v/>
      </c>
      <c r="K76" s="35" t="str">
        <f t="shared" si="6"/>
        <v/>
      </c>
      <c r="N76" s="34">
        <v>71</v>
      </c>
      <c r="O76" s="33" t="str">
        <f t="shared" si="7"/>
        <v/>
      </c>
    </row>
    <row r="77" spans="2:15" x14ac:dyDescent="0.25">
      <c r="B77" s="35" t="str">
        <f>IF(Control!$O80="","",INDEX(MemberOrg_Data[CFDA], Control!$O80))</f>
        <v/>
      </c>
      <c r="C77" s="35" t="str">
        <f t="array" ref="C77">IFERROR(INDEX(MemberOrg_Data[FEDERALPROGRAMNAME], MATCH(1, (SelectMemberOrg = MemberOrg_Data[Auditee Name])*(B77 = MemberOrg_Data[CFDA]), 0)), "")</f>
        <v/>
      </c>
      <c r="D77" s="36" t="str">
        <f>IFERROR(IF(B77 &lt;&gt; "", SUMIFS(MemberOrg_Data[Total Amount], MemberOrg_Data[Auditee Name], SelectMemberOrg, MemberOrg_Data[CFDA], B77), ""), "")</f>
        <v/>
      </c>
      <c r="E77" s="37" t="str">
        <f>IFERROR(INDEX(BudgetApprop_Data[President: % Change from 2019], MATCH(B77, BudgetApprop_Data[CFDA], 0)), "")</f>
        <v/>
      </c>
      <c r="F77" s="36" t="str">
        <f t="shared" si="4"/>
        <v/>
      </c>
      <c r="G77" s="46" t="str">
        <f>IFERROR(INDEX(BudgetApprop_Data[House: % Change from 2019], MATCH(FPWA_HelperTable[[#This Row],[CFDA]], BudgetApprop_Data[CFDA], 0)), "")</f>
        <v/>
      </c>
      <c r="H77" s="36" t="str">
        <f t="shared" si="5"/>
        <v/>
      </c>
      <c r="I77" s="35" t="str">
        <f>IF(B77 = "", "", IF(FPWA_HelperTable[[#This Row],[President $ Change]]&lt;&gt;"", RANK(F77, $F$6:$F$262)+COUNTIF($F$6:F77, F77)-1, 0))</f>
        <v/>
      </c>
      <c r="J77" s="35" t="str">
        <f>IFERROR((IF(I77= 0, COUNTIF($I$6:I77, 0), "")+MAX($I$6:$I$262)), "")</f>
        <v/>
      </c>
      <c r="K77" s="35" t="str">
        <f t="shared" si="6"/>
        <v/>
      </c>
      <c r="N77" s="34">
        <v>72</v>
      </c>
      <c r="O77" s="33" t="str">
        <f t="shared" si="7"/>
        <v/>
      </c>
    </row>
    <row r="78" spans="2:15" x14ac:dyDescent="0.25">
      <c r="B78" s="35" t="str">
        <f>IF(Control!$O81="","",INDEX(MemberOrg_Data[CFDA], Control!$O81))</f>
        <v/>
      </c>
      <c r="C78" s="35" t="str">
        <f t="array" ref="C78">IFERROR(INDEX(MemberOrg_Data[FEDERALPROGRAMNAME], MATCH(1, (SelectMemberOrg = MemberOrg_Data[Auditee Name])*(B78 = MemberOrg_Data[CFDA]), 0)), "")</f>
        <v/>
      </c>
      <c r="D78" s="36" t="str">
        <f>IFERROR(IF(B78 &lt;&gt; "", SUMIFS(MemberOrg_Data[Total Amount], MemberOrg_Data[Auditee Name], SelectMemberOrg, MemberOrg_Data[CFDA], B78), ""), "")</f>
        <v/>
      </c>
      <c r="E78" s="37" t="str">
        <f>IFERROR(INDEX(BudgetApprop_Data[President: % Change from 2019], MATCH(B78, BudgetApprop_Data[CFDA], 0)), "")</f>
        <v/>
      </c>
      <c r="F78" s="36" t="str">
        <f t="shared" si="4"/>
        <v/>
      </c>
      <c r="G78" s="46" t="str">
        <f>IFERROR(INDEX(BudgetApprop_Data[House: % Change from 2019], MATCH(FPWA_HelperTable[[#This Row],[CFDA]], BudgetApprop_Data[CFDA], 0)), "")</f>
        <v/>
      </c>
      <c r="H78" s="36" t="str">
        <f t="shared" si="5"/>
        <v/>
      </c>
      <c r="I78" s="35" t="str">
        <f>IF(B78 = "", "", IF(FPWA_HelperTable[[#This Row],[President $ Change]]&lt;&gt;"", RANK(F78, $F$6:$F$262)+COUNTIF($F$6:F78, F78)-1, 0))</f>
        <v/>
      </c>
      <c r="J78" s="35" t="str">
        <f>IFERROR((IF(I78= 0, COUNTIF($I$6:I78, 0), "")+MAX($I$6:$I$262)), "")</f>
        <v/>
      </c>
      <c r="K78" s="35" t="str">
        <f t="shared" si="6"/>
        <v/>
      </c>
      <c r="N78" s="34">
        <v>73</v>
      </c>
      <c r="O78" s="33" t="str">
        <f t="shared" si="7"/>
        <v/>
      </c>
    </row>
    <row r="79" spans="2:15" x14ac:dyDescent="0.25">
      <c r="B79" s="35" t="str">
        <f>IF(Control!$O82="","",INDEX(MemberOrg_Data[CFDA], Control!$O82))</f>
        <v/>
      </c>
      <c r="C79" s="35" t="str">
        <f t="array" ref="C79">IFERROR(INDEX(MemberOrg_Data[FEDERALPROGRAMNAME], MATCH(1, (SelectMemberOrg = MemberOrg_Data[Auditee Name])*(B79 = MemberOrg_Data[CFDA]), 0)), "")</f>
        <v/>
      </c>
      <c r="D79" s="36" t="str">
        <f>IFERROR(IF(B79 &lt;&gt; "", SUMIFS(MemberOrg_Data[Total Amount], MemberOrg_Data[Auditee Name], SelectMemberOrg, MemberOrg_Data[CFDA], B79), ""), "")</f>
        <v/>
      </c>
      <c r="E79" s="37" t="str">
        <f>IFERROR(INDEX(BudgetApprop_Data[President: % Change from 2019], MATCH(B79, BudgetApprop_Data[CFDA], 0)), "")</f>
        <v/>
      </c>
      <c r="F79" s="36" t="str">
        <f t="shared" si="4"/>
        <v/>
      </c>
      <c r="G79" s="46" t="str">
        <f>IFERROR(INDEX(BudgetApprop_Data[House: % Change from 2019], MATCH(FPWA_HelperTable[[#This Row],[CFDA]], BudgetApprop_Data[CFDA], 0)), "")</f>
        <v/>
      </c>
      <c r="H79" s="36" t="str">
        <f t="shared" si="5"/>
        <v/>
      </c>
      <c r="I79" s="35" t="str">
        <f>IF(B79 = "", "", IF(FPWA_HelperTable[[#This Row],[President $ Change]]&lt;&gt;"", RANK(F79, $F$6:$F$262)+COUNTIF($F$6:F79, F79)-1, 0))</f>
        <v/>
      </c>
      <c r="J79" s="35" t="str">
        <f>IFERROR((IF(I79= 0, COUNTIF($I$6:I79, 0), "")+MAX($I$6:$I$262)), "")</f>
        <v/>
      </c>
      <c r="K79" s="35" t="str">
        <f t="shared" si="6"/>
        <v/>
      </c>
      <c r="N79" s="34">
        <v>74</v>
      </c>
      <c r="O79" s="33" t="str">
        <f t="shared" si="7"/>
        <v/>
      </c>
    </row>
    <row r="80" spans="2:15" x14ac:dyDescent="0.25">
      <c r="B80" s="35" t="str">
        <f>IF(Control!$O83="","",INDEX(MemberOrg_Data[CFDA], Control!$O83))</f>
        <v/>
      </c>
      <c r="C80" s="35" t="str">
        <f t="array" ref="C80">IFERROR(INDEX(MemberOrg_Data[FEDERALPROGRAMNAME], MATCH(1, (SelectMemberOrg = MemberOrg_Data[Auditee Name])*(B80 = MemberOrg_Data[CFDA]), 0)), "")</f>
        <v/>
      </c>
      <c r="D80" s="36" t="str">
        <f>IFERROR(IF(B80 &lt;&gt; "", SUMIFS(MemberOrg_Data[Total Amount], MemberOrg_Data[Auditee Name], SelectMemberOrg, MemberOrg_Data[CFDA], B80), ""), "")</f>
        <v/>
      </c>
      <c r="E80" s="37" t="str">
        <f>IFERROR(INDEX(BudgetApprop_Data[President: % Change from 2019], MATCH(B80, BudgetApprop_Data[CFDA], 0)), "")</f>
        <v/>
      </c>
      <c r="F80" s="36" t="str">
        <f t="shared" si="4"/>
        <v/>
      </c>
      <c r="G80" s="46" t="str">
        <f>IFERROR(INDEX(BudgetApprop_Data[House: % Change from 2019], MATCH(FPWA_HelperTable[[#This Row],[CFDA]], BudgetApprop_Data[CFDA], 0)), "")</f>
        <v/>
      </c>
      <c r="H80" s="36" t="str">
        <f t="shared" si="5"/>
        <v/>
      </c>
      <c r="I80" s="35" t="str">
        <f>IF(B80 = "", "", IF(FPWA_HelperTable[[#This Row],[President $ Change]]&lt;&gt;"", RANK(F80, $F$6:$F$262)+COUNTIF($F$6:F80, F80)-1, 0))</f>
        <v/>
      </c>
      <c r="J80" s="35" t="str">
        <f>IFERROR((IF(I80= 0, COUNTIF($I$6:I80, 0), "")+MAX($I$6:$I$262)), "")</f>
        <v/>
      </c>
      <c r="K80" s="35" t="str">
        <f t="shared" si="6"/>
        <v/>
      </c>
      <c r="N80" s="34">
        <v>75</v>
      </c>
      <c r="O80" s="33" t="str">
        <f t="shared" si="7"/>
        <v/>
      </c>
    </row>
    <row r="81" spans="2:15" x14ac:dyDescent="0.25">
      <c r="B81" s="35" t="str">
        <f>IF(Control!$O84="","",INDEX(MemberOrg_Data[CFDA], Control!$O84))</f>
        <v/>
      </c>
      <c r="C81" s="35" t="str">
        <f t="array" ref="C81">IFERROR(INDEX(MemberOrg_Data[FEDERALPROGRAMNAME], MATCH(1, (SelectMemberOrg = MemberOrg_Data[Auditee Name])*(B81 = MemberOrg_Data[CFDA]), 0)), "")</f>
        <v/>
      </c>
      <c r="D81" s="36" t="str">
        <f>IFERROR(IF(B81 &lt;&gt; "", SUMIFS(MemberOrg_Data[Total Amount], MemberOrg_Data[Auditee Name], SelectMemberOrg, MemberOrg_Data[CFDA], B81), ""), "")</f>
        <v/>
      </c>
      <c r="E81" s="37" t="str">
        <f>IFERROR(INDEX(BudgetApprop_Data[President: % Change from 2019], MATCH(B81, BudgetApprop_Data[CFDA], 0)), "")</f>
        <v/>
      </c>
      <c r="F81" s="36" t="str">
        <f t="shared" si="4"/>
        <v/>
      </c>
      <c r="G81" s="46" t="str">
        <f>IFERROR(INDEX(BudgetApprop_Data[House: % Change from 2019], MATCH(FPWA_HelperTable[[#This Row],[CFDA]], BudgetApprop_Data[CFDA], 0)), "")</f>
        <v/>
      </c>
      <c r="H81" s="36" t="str">
        <f t="shared" si="5"/>
        <v/>
      </c>
      <c r="I81" s="35" t="str">
        <f>IF(B81 = "", "", IF(FPWA_HelperTable[[#This Row],[President $ Change]]&lt;&gt;"", RANK(F81, $F$6:$F$262)+COUNTIF($F$6:F81, F81)-1, 0))</f>
        <v/>
      </c>
      <c r="J81" s="35" t="str">
        <f>IFERROR((IF(I81= 0, COUNTIF($I$6:I81, 0), "")+MAX($I$6:$I$262)), "")</f>
        <v/>
      </c>
      <c r="K81" s="35" t="str">
        <f t="shared" si="6"/>
        <v/>
      </c>
      <c r="N81" s="34">
        <v>76</v>
      </c>
      <c r="O81" s="33" t="str">
        <f t="shared" si="7"/>
        <v/>
      </c>
    </row>
    <row r="82" spans="2:15" x14ac:dyDescent="0.25">
      <c r="B82" s="35" t="str">
        <f>IF(Control!$O85="","",INDEX(MemberOrg_Data[CFDA], Control!$O85))</f>
        <v/>
      </c>
      <c r="C82" s="35" t="str">
        <f t="array" ref="C82">IFERROR(INDEX(MemberOrg_Data[FEDERALPROGRAMNAME], MATCH(1, (SelectMemberOrg = MemberOrg_Data[Auditee Name])*(B82 = MemberOrg_Data[CFDA]), 0)), "")</f>
        <v/>
      </c>
      <c r="D82" s="36" t="str">
        <f>IFERROR(IF(B82 &lt;&gt; "", SUMIFS(MemberOrg_Data[Total Amount], MemberOrg_Data[Auditee Name], SelectMemberOrg, MemberOrg_Data[CFDA], B82), ""), "")</f>
        <v/>
      </c>
      <c r="E82" s="37" t="str">
        <f>IFERROR(INDEX(BudgetApprop_Data[President: % Change from 2019], MATCH(B82, BudgetApprop_Data[CFDA], 0)), "")</f>
        <v/>
      </c>
      <c r="F82" s="36" t="str">
        <f t="shared" si="4"/>
        <v/>
      </c>
      <c r="G82" s="46" t="str">
        <f>IFERROR(INDEX(BudgetApprop_Data[House: % Change from 2019], MATCH(FPWA_HelperTable[[#This Row],[CFDA]], BudgetApprop_Data[CFDA], 0)), "")</f>
        <v/>
      </c>
      <c r="H82" s="36" t="str">
        <f t="shared" si="5"/>
        <v/>
      </c>
      <c r="I82" s="35" t="str">
        <f>IF(B82 = "", "", IF(FPWA_HelperTable[[#This Row],[President $ Change]]&lt;&gt;"", RANK(F82, $F$6:$F$262)+COUNTIF($F$6:F82, F82)-1, 0))</f>
        <v/>
      </c>
      <c r="J82" s="35" t="str">
        <f>IFERROR((IF(I82= 0, COUNTIF($I$6:I82, 0), "")+MAX($I$6:$I$262)), "")</f>
        <v/>
      </c>
      <c r="K82" s="35" t="str">
        <f t="shared" si="6"/>
        <v/>
      </c>
      <c r="N82" s="34">
        <v>77</v>
      </c>
      <c r="O82" s="33" t="str">
        <f t="shared" si="7"/>
        <v/>
      </c>
    </row>
    <row r="83" spans="2:15" x14ac:dyDescent="0.25">
      <c r="B83" s="35" t="str">
        <f>IF(Control!$O86="","",INDEX(MemberOrg_Data[CFDA], Control!$O86))</f>
        <v/>
      </c>
      <c r="C83" s="35" t="str">
        <f t="array" ref="C83">IFERROR(INDEX(MemberOrg_Data[FEDERALPROGRAMNAME], MATCH(1, (SelectMemberOrg = MemberOrg_Data[Auditee Name])*(B83 = MemberOrg_Data[CFDA]), 0)), "")</f>
        <v/>
      </c>
      <c r="D83" s="36" t="str">
        <f>IFERROR(IF(B83 &lt;&gt; "", SUMIFS(MemberOrg_Data[Total Amount], MemberOrg_Data[Auditee Name], SelectMemberOrg, MemberOrg_Data[CFDA], B83), ""), "")</f>
        <v/>
      </c>
      <c r="E83" s="37" t="str">
        <f>IFERROR(INDEX(BudgetApprop_Data[President: % Change from 2019], MATCH(B83, BudgetApprop_Data[CFDA], 0)), "")</f>
        <v/>
      </c>
      <c r="F83" s="36" t="str">
        <f t="shared" si="4"/>
        <v/>
      </c>
      <c r="G83" s="46" t="str">
        <f>IFERROR(INDEX(BudgetApprop_Data[House: % Change from 2019], MATCH(FPWA_HelperTable[[#This Row],[CFDA]], BudgetApprop_Data[CFDA], 0)), "")</f>
        <v/>
      </c>
      <c r="H83" s="36" t="str">
        <f t="shared" si="5"/>
        <v/>
      </c>
      <c r="I83" s="35" t="str">
        <f>IF(B83 = "", "", IF(FPWA_HelperTable[[#This Row],[President $ Change]]&lt;&gt;"", RANK(F83, $F$6:$F$262)+COUNTIF($F$6:F83, F83)-1, 0))</f>
        <v/>
      </c>
      <c r="J83" s="35" t="str">
        <f>IFERROR((IF(I83= 0, COUNTIF($I$6:I83, 0), "")+MAX($I$6:$I$262)), "")</f>
        <v/>
      </c>
      <c r="K83" s="35" t="str">
        <f t="shared" si="6"/>
        <v/>
      </c>
      <c r="N83" s="34">
        <v>78</v>
      </c>
      <c r="O83" s="33" t="str">
        <f t="shared" si="7"/>
        <v/>
      </c>
    </row>
    <row r="84" spans="2:15" x14ac:dyDescent="0.25">
      <c r="B84" s="35" t="str">
        <f>IF(Control!$O87="","",INDEX(MemberOrg_Data[CFDA], Control!$O87))</f>
        <v/>
      </c>
      <c r="C84" s="35" t="str">
        <f t="array" ref="C84">IFERROR(INDEX(MemberOrg_Data[FEDERALPROGRAMNAME], MATCH(1, (SelectMemberOrg = MemberOrg_Data[Auditee Name])*(B84 = MemberOrg_Data[CFDA]), 0)), "")</f>
        <v/>
      </c>
      <c r="D84" s="36" t="str">
        <f>IFERROR(IF(B84 &lt;&gt; "", SUMIFS(MemberOrg_Data[Total Amount], MemberOrg_Data[Auditee Name], SelectMemberOrg, MemberOrg_Data[CFDA], B84), ""), "")</f>
        <v/>
      </c>
      <c r="E84" s="37" t="str">
        <f>IFERROR(INDEX(BudgetApprop_Data[President: % Change from 2019], MATCH(B84, BudgetApprop_Data[CFDA], 0)), "")</f>
        <v/>
      </c>
      <c r="F84" s="36" t="str">
        <f t="shared" si="4"/>
        <v/>
      </c>
      <c r="G84" s="46" t="str">
        <f>IFERROR(INDEX(BudgetApprop_Data[House: % Change from 2019], MATCH(FPWA_HelperTable[[#This Row],[CFDA]], BudgetApprop_Data[CFDA], 0)), "")</f>
        <v/>
      </c>
      <c r="H84" s="36" t="str">
        <f t="shared" si="5"/>
        <v/>
      </c>
      <c r="I84" s="35" t="str">
        <f>IF(B84 = "", "", IF(FPWA_HelperTable[[#This Row],[President $ Change]]&lt;&gt;"", RANK(F84, $F$6:$F$262)+COUNTIF($F$6:F84, F84)-1, 0))</f>
        <v/>
      </c>
      <c r="J84" s="35" t="str">
        <f>IFERROR((IF(I84= 0, COUNTIF($I$6:I84, 0), "")+MAX($I$6:$I$262)), "")</f>
        <v/>
      </c>
      <c r="K84" s="35" t="str">
        <f t="shared" si="6"/>
        <v/>
      </c>
      <c r="N84" s="34">
        <v>79</v>
      </c>
      <c r="O84" s="33" t="str">
        <f t="shared" si="7"/>
        <v/>
      </c>
    </row>
    <row r="85" spans="2:15" x14ac:dyDescent="0.25">
      <c r="B85" s="35" t="str">
        <f>IF(Control!$O88="","",INDEX(MemberOrg_Data[CFDA], Control!$O88))</f>
        <v/>
      </c>
      <c r="C85" s="35" t="str">
        <f t="array" ref="C85">IFERROR(INDEX(MemberOrg_Data[FEDERALPROGRAMNAME], MATCH(1, (SelectMemberOrg = MemberOrg_Data[Auditee Name])*(B85 = MemberOrg_Data[CFDA]), 0)), "")</f>
        <v/>
      </c>
      <c r="D85" s="36" t="str">
        <f>IFERROR(IF(B85 &lt;&gt; "", SUMIFS(MemberOrg_Data[Total Amount], MemberOrg_Data[Auditee Name], SelectMemberOrg, MemberOrg_Data[CFDA], B85), ""), "")</f>
        <v/>
      </c>
      <c r="E85" s="37" t="str">
        <f>IFERROR(INDEX(BudgetApprop_Data[President: % Change from 2019], MATCH(B85, BudgetApprop_Data[CFDA], 0)), "")</f>
        <v/>
      </c>
      <c r="F85" s="36" t="str">
        <f t="shared" si="4"/>
        <v/>
      </c>
      <c r="G85" s="46" t="str">
        <f>IFERROR(INDEX(BudgetApprop_Data[House: % Change from 2019], MATCH(FPWA_HelperTable[[#This Row],[CFDA]], BudgetApprop_Data[CFDA], 0)), "")</f>
        <v/>
      </c>
      <c r="H85" s="36" t="str">
        <f t="shared" si="5"/>
        <v/>
      </c>
      <c r="I85" s="35" t="str">
        <f>IF(B85 = "", "", IF(FPWA_HelperTable[[#This Row],[President $ Change]]&lt;&gt;"", RANK(F85, $F$6:$F$262)+COUNTIF($F$6:F85, F85)-1, 0))</f>
        <v/>
      </c>
      <c r="J85" s="35" t="str">
        <f>IFERROR((IF(I85= 0, COUNTIF($I$6:I85, 0), "")+MAX($I$6:$I$262)), "")</f>
        <v/>
      </c>
      <c r="K85" s="35" t="str">
        <f t="shared" si="6"/>
        <v/>
      </c>
      <c r="N85" s="34">
        <v>80</v>
      </c>
      <c r="O85" s="33" t="str">
        <f t="shared" si="7"/>
        <v/>
      </c>
    </row>
    <row r="86" spans="2:15" x14ac:dyDescent="0.25">
      <c r="B86" s="35" t="str">
        <f>IF(Control!$O89="","",INDEX(MemberOrg_Data[CFDA], Control!$O89))</f>
        <v/>
      </c>
      <c r="C86" s="35" t="str">
        <f t="array" ref="C86">IFERROR(INDEX(MemberOrg_Data[FEDERALPROGRAMNAME], MATCH(1, (SelectMemberOrg = MemberOrg_Data[Auditee Name])*(B86 = MemberOrg_Data[CFDA]), 0)), "")</f>
        <v/>
      </c>
      <c r="D86" s="36" t="str">
        <f>IFERROR(IF(B86 &lt;&gt; "", SUMIFS(MemberOrg_Data[Total Amount], MemberOrg_Data[Auditee Name], SelectMemberOrg, MemberOrg_Data[CFDA], B86), ""), "")</f>
        <v/>
      </c>
      <c r="E86" s="37" t="str">
        <f>IFERROR(INDEX(BudgetApprop_Data[President: % Change from 2019], MATCH(B86, BudgetApprop_Data[CFDA], 0)), "")</f>
        <v/>
      </c>
      <c r="F86" s="36" t="str">
        <f t="shared" si="4"/>
        <v/>
      </c>
      <c r="G86" s="46" t="str">
        <f>IFERROR(INDEX(BudgetApprop_Data[House: % Change from 2019], MATCH(FPWA_HelperTable[[#This Row],[CFDA]], BudgetApprop_Data[CFDA], 0)), "")</f>
        <v/>
      </c>
      <c r="H86" s="36" t="str">
        <f t="shared" si="5"/>
        <v/>
      </c>
      <c r="I86" s="35" t="str">
        <f>IF(B86 = "", "", IF(FPWA_HelperTable[[#This Row],[President $ Change]]&lt;&gt;"", RANK(F86, $F$6:$F$262)+COUNTIF($F$6:F86, F86)-1, 0))</f>
        <v/>
      </c>
      <c r="J86" s="35" t="str">
        <f>IFERROR((IF(I86= 0, COUNTIF($I$6:I86, 0), "")+MAX($I$6:$I$262)), "")</f>
        <v/>
      </c>
      <c r="K86" s="35" t="str">
        <f t="shared" si="6"/>
        <v/>
      </c>
      <c r="N86" s="34">
        <v>81</v>
      </c>
      <c r="O86" s="33" t="str">
        <f t="shared" si="7"/>
        <v/>
      </c>
    </row>
    <row r="87" spans="2:15" x14ac:dyDescent="0.25">
      <c r="B87" s="35" t="str">
        <f>IF(Control!$O90="","",INDEX(MemberOrg_Data[CFDA], Control!$O90))</f>
        <v/>
      </c>
      <c r="C87" s="35" t="str">
        <f t="array" ref="C87">IFERROR(INDEX(MemberOrg_Data[FEDERALPROGRAMNAME], MATCH(1, (SelectMemberOrg = MemberOrg_Data[Auditee Name])*(B87 = MemberOrg_Data[CFDA]), 0)), "")</f>
        <v/>
      </c>
      <c r="D87" s="36" t="str">
        <f>IFERROR(IF(B87 &lt;&gt; "", SUMIFS(MemberOrg_Data[Total Amount], MemberOrg_Data[Auditee Name], SelectMemberOrg, MemberOrg_Data[CFDA], B87), ""), "")</f>
        <v/>
      </c>
      <c r="E87" s="37" t="str">
        <f>IFERROR(INDEX(BudgetApprop_Data[President: % Change from 2019], MATCH(B87, BudgetApprop_Data[CFDA], 0)), "")</f>
        <v/>
      </c>
      <c r="F87" s="36" t="str">
        <f t="shared" si="4"/>
        <v/>
      </c>
      <c r="G87" s="46" t="str">
        <f>IFERROR(INDEX(BudgetApprop_Data[House: % Change from 2019], MATCH(FPWA_HelperTable[[#This Row],[CFDA]], BudgetApprop_Data[CFDA], 0)), "")</f>
        <v/>
      </c>
      <c r="H87" s="36" t="str">
        <f t="shared" si="5"/>
        <v/>
      </c>
      <c r="I87" s="35" t="str">
        <f>IF(B87 = "", "", IF(FPWA_HelperTable[[#This Row],[President $ Change]]&lt;&gt;"", RANK(F87, $F$6:$F$262)+COUNTIF($F$6:F87, F87)-1, 0))</f>
        <v/>
      </c>
      <c r="J87" s="35" t="str">
        <f>IFERROR((IF(I87= 0, COUNTIF($I$6:I87, 0), "")+MAX($I$6:$I$262)), "")</f>
        <v/>
      </c>
      <c r="K87" s="35" t="str">
        <f t="shared" si="6"/>
        <v/>
      </c>
      <c r="N87" s="34">
        <v>82</v>
      </c>
      <c r="O87" s="33" t="str">
        <f t="shared" si="7"/>
        <v/>
      </c>
    </row>
    <row r="88" spans="2:15" x14ac:dyDescent="0.25">
      <c r="B88" s="35" t="str">
        <f>IF(Control!$O91="","",INDEX(MemberOrg_Data[CFDA], Control!$O91))</f>
        <v/>
      </c>
      <c r="C88" s="35" t="str">
        <f t="array" ref="C88">IFERROR(INDEX(MemberOrg_Data[FEDERALPROGRAMNAME], MATCH(1, (SelectMemberOrg = MemberOrg_Data[Auditee Name])*(B88 = MemberOrg_Data[CFDA]), 0)), "")</f>
        <v/>
      </c>
      <c r="D88" s="36" t="str">
        <f>IFERROR(IF(B88 &lt;&gt; "", SUMIFS(MemberOrg_Data[Total Amount], MemberOrg_Data[Auditee Name], SelectMemberOrg, MemberOrg_Data[CFDA], B88), ""), "")</f>
        <v/>
      </c>
      <c r="E88" s="37" t="str">
        <f>IFERROR(INDEX(BudgetApprop_Data[President: % Change from 2019], MATCH(B88, BudgetApprop_Data[CFDA], 0)), "")</f>
        <v/>
      </c>
      <c r="F88" s="36" t="str">
        <f t="shared" si="4"/>
        <v/>
      </c>
      <c r="G88" s="46" t="str">
        <f>IFERROR(INDEX(BudgetApprop_Data[House: % Change from 2019], MATCH(FPWA_HelperTable[[#This Row],[CFDA]], BudgetApprop_Data[CFDA], 0)), "")</f>
        <v/>
      </c>
      <c r="H88" s="36" t="str">
        <f t="shared" si="5"/>
        <v/>
      </c>
      <c r="I88" s="35" t="str">
        <f>IF(B88 = "", "", IF(FPWA_HelperTable[[#This Row],[President $ Change]]&lt;&gt;"", RANK(F88, $F$6:$F$262)+COUNTIF($F$6:F88, F88)-1, 0))</f>
        <v/>
      </c>
      <c r="J88" s="35" t="str">
        <f>IFERROR((IF(I88= 0, COUNTIF($I$6:I88, 0), "")+MAX($I$6:$I$262)), "")</f>
        <v/>
      </c>
      <c r="K88" s="35" t="str">
        <f t="shared" si="6"/>
        <v/>
      </c>
      <c r="N88" s="34">
        <v>83</v>
      </c>
      <c r="O88" s="33" t="str">
        <f t="shared" si="7"/>
        <v/>
      </c>
    </row>
    <row r="89" spans="2:15" x14ac:dyDescent="0.25">
      <c r="B89" s="35" t="str">
        <f>IF(Control!$O92="","",INDEX(MemberOrg_Data[CFDA], Control!$O92))</f>
        <v/>
      </c>
      <c r="C89" s="35" t="str">
        <f t="array" ref="C89">IFERROR(INDEX(MemberOrg_Data[FEDERALPROGRAMNAME], MATCH(1, (SelectMemberOrg = MemberOrg_Data[Auditee Name])*(B89 = MemberOrg_Data[CFDA]), 0)), "")</f>
        <v/>
      </c>
      <c r="D89" s="36" t="str">
        <f>IFERROR(IF(B89 &lt;&gt; "", SUMIFS(MemberOrg_Data[Total Amount], MemberOrg_Data[Auditee Name], SelectMemberOrg, MemberOrg_Data[CFDA], B89), ""), "")</f>
        <v/>
      </c>
      <c r="E89" s="37" t="str">
        <f>IFERROR(INDEX(BudgetApprop_Data[President: % Change from 2019], MATCH(B89, BudgetApprop_Data[CFDA], 0)), "")</f>
        <v/>
      </c>
      <c r="F89" s="36" t="str">
        <f t="shared" si="4"/>
        <v/>
      </c>
      <c r="G89" s="46" t="str">
        <f>IFERROR(INDEX(BudgetApprop_Data[House: % Change from 2019], MATCH(FPWA_HelperTable[[#This Row],[CFDA]], BudgetApprop_Data[CFDA], 0)), "")</f>
        <v/>
      </c>
      <c r="H89" s="36" t="str">
        <f t="shared" si="5"/>
        <v/>
      </c>
      <c r="I89" s="35" t="str">
        <f>IF(B89 = "", "", IF(FPWA_HelperTable[[#This Row],[President $ Change]]&lt;&gt;"", RANK(F89, $F$6:$F$262)+COUNTIF($F$6:F89, F89)-1, 0))</f>
        <v/>
      </c>
      <c r="J89" s="35" t="str">
        <f>IFERROR((IF(I89= 0, COUNTIF($I$6:I89, 0), "")+MAX($I$6:$I$262)), "")</f>
        <v/>
      </c>
      <c r="K89" s="35" t="str">
        <f t="shared" si="6"/>
        <v/>
      </c>
      <c r="N89" s="34">
        <v>84</v>
      </c>
      <c r="O89" s="33" t="str">
        <f t="shared" si="7"/>
        <v/>
      </c>
    </row>
    <row r="90" spans="2:15" x14ac:dyDescent="0.25">
      <c r="B90" s="35" t="str">
        <f>IF(Control!$O93="","",INDEX(MemberOrg_Data[CFDA], Control!$O93))</f>
        <v/>
      </c>
      <c r="C90" s="35" t="str">
        <f t="array" ref="C90">IFERROR(INDEX(MemberOrg_Data[FEDERALPROGRAMNAME], MATCH(1, (SelectMemberOrg = MemberOrg_Data[Auditee Name])*(B90 = MemberOrg_Data[CFDA]), 0)), "")</f>
        <v/>
      </c>
      <c r="D90" s="36" t="str">
        <f>IFERROR(IF(B90 &lt;&gt; "", SUMIFS(MemberOrg_Data[Total Amount], MemberOrg_Data[Auditee Name], SelectMemberOrg, MemberOrg_Data[CFDA], B90), ""), "")</f>
        <v/>
      </c>
      <c r="E90" s="37" t="str">
        <f>IFERROR(INDEX(BudgetApprop_Data[President: % Change from 2019], MATCH(B90, BudgetApprop_Data[CFDA], 0)), "")</f>
        <v/>
      </c>
      <c r="F90" s="36" t="str">
        <f t="shared" si="4"/>
        <v/>
      </c>
      <c r="G90" s="46" t="str">
        <f>IFERROR(INDEX(BudgetApprop_Data[House: % Change from 2019], MATCH(FPWA_HelperTable[[#This Row],[CFDA]], BudgetApprop_Data[CFDA], 0)), "")</f>
        <v/>
      </c>
      <c r="H90" s="36" t="str">
        <f t="shared" si="5"/>
        <v/>
      </c>
      <c r="I90" s="35" t="str">
        <f>IF(B90 = "", "", IF(FPWA_HelperTable[[#This Row],[President $ Change]]&lt;&gt;"", RANK(F90, $F$6:$F$262)+COUNTIF($F$6:F90, F90)-1, 0))</f>
        <v/>
      </c>
      <c r="J90" s="35" t="str">
        <f>IFERROR((IF(I90= 0, COUNTIF($I$6:I90, 0), "")+MAX($I$6:$I$262)), "")</f>
        <v/>
      </c>
      <c r="K90" s="35" t="str">
        <f t="shared" si="6"/>
        <v/>
      </c>
      <c r="N90" s="34">
        <v>85</v>
      </c>
      <c r="O90" s="33" t="str">
        <f t="shared" si="7"/>
        <v/>
      </c>
    </row>
    <row r="91" spans="2:15" x14ac:dyDescent="0.25">
      <c r="B91" s="35" t="str">
        <f>IF(Control!$O94="","",INDEX(MemberOrg_Data[CFDA], Control!$O94))</f>
        <v/>
      </c>
      <c r="C91" s="35" t="str">
        <f t="array" ref="C91">IFERROR(INDEX(MemberOrg_Data[FEDERALPROGRAMNAME], MATCH(1, (SelectMemberOrg = MemberOrg_Data[Auditee Name])*(B91 = MemberOrg_Data[CFDA]), 0)), "")</f>
        <v/>
      </c>
      <c r="D91" s="36" t="str">
        <f>IFERROR(IF(B91 &lt;&gt; "", SUMIFS(MemberOrg_Data[Total Amount], MemberOrg_Data[Auditee Name], SelectMemberOrg, MemberOrg_Data[CFDA], B91), ""), "")</f>
        <v/>
      </c>
      <c r="E91" s="37" t="str">
        <f>IFERROR(INDEX(BudgetApprop_Data[President: % Change from 2019], MATCH(B91, BudgetApprop_Data[CFDA], 0)), "")</f>
        <v/>
      </c>
      <c r="F91" s="36" t="str">
        <f t="shared" si="4"/>
        <v/>
      </c>
      <c r="G91" s="46" t="str">
        <f>IFERROR(INDEX(BudgetApprop_Data[House: % Change from 2019], MATCH(FPWA_HelperTable[[#This Row],[CFDA]], BudgetApprop_Data[CFDA], 0)), "")</f>
        <v/>
      </c>
      <c r="H91" s="36" t="str">
        <f t="shared" si="5"/>
        <v/>
      </c>
      <c r="I91" s="35" t="str">
        <f>IF(B91 = "", "", IF(FPWA_HelperTable[[#This Row],[President $ Change]]&lt;&gt;"", RANK(F91, $F$6:$F$262)+COUNTIF($F$6:F91, F91)-1, 0))</f>
        <v/>
      </c>
      <c r="J91" s="35" t="str">
        <f>IFERROR((IF(I91= 0, COUNTIF($I$6:I91, 0), "")+MAX($I$6:$I$262)), "")</f>
        <v/>
      </c>
      <c r="K91" s="35" t="str">
        <f t="shared" si="6"/>
        <v/>
      </c>
      <c r="N91" s="34">
        <v>86</v>
      </c>
      <c r="O91" s="33" t="str">
        <f t="shared" si="7"/>
        <v/>
      </c>
    </row>
    <row r="92" spans="2:15" x14ac:dyDescent="0.25">
      <c r="B92" s="35" t="str">
        <f>IF(Control!$O95="","",INDEX(MemberOrg_Data[CFDA], Control!$O95))</f>
        <v/>
      </c>
      <c r="C92" s="35" t="str">
        <f t="array" ref="C92">IFERROR(INDEX(MemberOrg_Data[FEDERALPROGRAMNAME], MATCH(1, (SelectMemberOrg = MemberOrg_Data[Auditee Name])*(B92 = MemberOrg_Data[CFDA]), 0)), "")</f>
        <v/>
      </c>
      <c r="D92" s="36" t="str">
        <f>IFERROR(IF(B92 &lt;&gt; "", SUMIFS(MemberOrg_Data[Total Amount], MemberOrg_Data[Auditee Name], SelectMemberOrg, MemberOrg_Data[CFDA], B92), ""), "")</f>
        <v/>
      </c>
      <c r="E92" s="37" t="str">
        <f>IFERROR(INDEX(BudgetApprop_Data[President: % Change from 2019], MATCH(B92, BudgetApprop_Data[CFDA], 0)), "")</f>
        <v/>
      </c>
      <c r="F92" s="36" t="str">
        <f t="shared" si="4"/>
        <v/>
      </c>
      <c r="G92" s="46" t="str">
        <f>IFERROR(INDEX(BudgetApprop_Data[House: % Change from 2019], MATCH(FPWA_HelperTable[[#This Row],[CFDA]], BudgetApprop_Data[CFDA], 0)), "")</f>
        <v/>
      </c>
      <c r="H92" s="36" t="str">
        <f t="shared" si="5"/>
        <v/>
      </c>
      <c r="I92" s="35" t="str">
        <f>IF(B92 = "", "", IF(FPWA_HelperTable[[#This Row],[President $ Change]]&lt;&gt;"", RANK(F92, $F$6:$F$262)+COUNTIF($F$6:F92, F92)-1, 0))</f>
        <v/>
      </c>
      <c r="J92" s="35" t="str">
        <f>IFERROR((IF(I92= 0, COUNTIF($I$6:I92, 0), "")+MAX($I$6:$I$262)), "")</f>
        <v/>
      </c>
      <c r="K92" s="35" t="str">
        <f t="shared" si="6"/>
        <v/>
      </c>
      <c r="N92" s="34">
        <v>87</v>
      </c>
      <c r="O92" s="33" t="str">
        <f t="shared" si="7"/>
        <v/>
      </c>
    </row>
    <row r="93" spans="2:15" x14ac:dyDescent="0.25">
      <c r="B93" s="35" t="str">
        <f>IF(Control!$O96="","",INDEX(MemberOrg_Data[CFDA], Control!$O96))</f>
        <v/>
      </c>
      <c r="C93" s="35" t="str">
        <f t="array" ref="C93">IFERROR(INDEX(MemberOrg_Data[FEDERALPROGRAMNAME], MATCH(1, (SelectMemberOrg = MemberOrg_Data[Auditee Name])*(B93 = MemberOrg_Data[CFDA]), 0)), "")</f>
        <v/>
      </c>
      <c r="D93" s="36" t="str">
        <f>IFERROR(IF(B93 &lt;&gt; "", SUMIFS(MemberOrg_Data[Total Amount], MemberOrg_Data[Auditee Name], SelectMemberOrg, MemberOrg_Data[CFDA], B93), ""), "")</f>
        <v/>
      </c>
      <c r="E93" s="37" t="str">
        <f>IFERROR(INDEX(BudgetApprop_Data[President: % Change from 2019], MATCH(B93, BudgetApprop_Data[CFDA], 0)), "")</f>
        <v/>
      </c>
      <c r="F93" s="36" t="str">
        <f t="shared" si="4"/>
        <v/>
      </c>
      <c r="G93" s="46" t="str">
        <f>IFERROR(INDEX(BudgetApprop_Data[House: % Change from 2019], MATCH(FPWA_HelperTable[[#This Row],[CFDA]], BudgetApprop_Data[CFDA], 0)), "")</f>
        <v/>
      </c>
      <c r="H93" s="36" t="str">
        <f t="shared" si="5"/>
        <v/>
      </c>
      <c r="I93" s="35" t="str">
        <f>IF(B93 = "", "", IF(FPWA_HelperTable[[#This Row],[President $ Change]]&lt;&gt;"", RANK(F93, $F$6:$F$262)+COUNTIF($F$6:F93, F93)-1, 0))</f>
        <v/>
      </c>
      <c r="J93" s="35" t="str">
        <f>IFERROR((IF(I93= 0, COUNTIF($I$6:I93, 0), "")+MAX($I$6:$I$262)), "")</f>
        <v/>
      </c>
      <c r="K93" s="35" t="str">
        <f t="shared" si="6"/>
        <v/>
      </c>
      <c r="N93" s="34">
        <v>88</v>
      </c>
      <c r="O93" s="33" t="str">
        <f t="shared" si="7"/>
        <v/>
      </c>
    </row>
    <row r="94" spans="2:15" x14ac:dyDescent="0.25">
      <c r="B94" s="35" t="str">
        <f>IF(Control!$O97="","",INDEX(MemberOrg_Data[CFDA], Control!$O97))</f>
        <v/>
      </c>
      <c r="C94" s="35" t="str">
        <f t="array" ref="C94">IFERROR(INDEX(MemberOrg_Data[FEDERALPROGRAMNAME], MATCH(1, (SelectMemberOrg = MemberOrg_Data[Auditee Name])*(B94 = MemberOrg_Data[CFDA]), 0)), "")</f>
        <v/>
      </c>
      <c r="D94" s="36" t="str">
        <f>IFERROR(IF(B94 &lt;&gt; "", SUMIFS(MemberOrg_Data[Total Amount], MemberOrg_Data[Auditee Name], SelectMemberOrg, MemberOrg_Data[CFDA], B94), ""), "")</f>
        <v/>
      </c>
      <c r="E94" s="37" t="str">
        <f>IFERROR(INDEX(BudgetApprop_Data[President: % Change from 2019], MATCH(B94, BudgetApprop_Data[CFDA], 0)), "")</f>
        <v/>
      </c>
      <c r="F94" s="36" t="str">
        <f t="shared" si="4"/>
        <v/>
      </c>
      <c r="G94" s="46" t="str">
        <f>IFERROR(INDEX(BudgetApprop_Data[House: % Change from 2019], MATCH(FPWA_HelperTable[[#This Row],[CFDA]], BudgetApprop_Data[CFDA], 0)), "")</f>
        <v/>
      </c>
      <c r="H94" s="36" t="str">
        <f t="shared" si="5"/>
        <v/>
      </c>
      <c r="I94" s="35" t="str">
        <f>IF(B94 = "", "", IF(FPWA_HelperTable[[#This Row],[President $ Change]]&lt;&gt;"", RANK(F94, $F$6:$F$262)+COUNTIF($F$6:F94, F94)-1, 0))</f>
        <v/>
      </c>
      <c r="J94" s="35" t="str">
        <f>IFERROR((IF(I94= 0, COUNTIF($I$6:I94, 0), "")+MAX($I$6:$I$262)), "")</f>
        <v/>
      </c>
      <c r="K94" s="35" t="str">
        <f t="shared" si="6"/>
        <v/>
      </c>
      <c r="N94" s="34">
        <v>89</v>
      </c>
      <c r="O94" s="33" t="str">
        <f t="shared" si="7"/>
        <v/>
      </c>
    </row>
    <row r="95" spans="2:15" x14ac:dyDescent="0.25">
      <c r="B95" s="35" t="str">
        <f>IF(Control!$O98="","",INDEX(MemberOrg_Data[CFDA], Control!$O98))</f>
        <v/>
      </c>
      <c r="C95" s="35" t="str">
        <f t="array" ref="C95">IFERROR(INDEX(MemberOrg_Data[FEDERALPROGRAMNAME], MATCH(1, (SelectMemberOrg = MemberOrg_Data[Auditee Name])*(B95 = MemberOrg_Data[CFDA]), 0)), "")</f>
        <v/>
      </c>
      <c r="D95" s="36" t="str">
        <f>IFERROR(IF(B95 &lt;&gt; "", SUMIFS(MemberOrg_Data[Total Amount], MemberOrg_Data[Auditee Name], SelectMemberOrg, MemberOrg_Data[CFDA], B95), ""), "")</f>
        <v/>
      </c>
      <c r="E95" s="37" t="str">
        <f>IFERROR(INDEX(BudgetApprop_Data[President: % Change from 2019], MATCH(B95, BudgetApprop_Data[CFDA], 0)), "")</f>
        <v/>
      </c>
      <c r="F95" s="36" t="str">
        <f t="shared" si="4"/>
        <v/>
      </c>
      <c r="G95" s="46" t="str">
        <f>IFERROR(INDEX(BudgetApprop_Data[House: % Change from 2019], MATCH(FPWA_HelperTable[[#This Row],[CFDA]], BudgetApprop_Data[CFDA], 0)), "")</f>
        <v/>
      </c>
      <c r="H95" s="36" t="str">
        <f t="shared" si="5"/>
        <v/>
      </c>
      <c r="I95" s="35" t="str">
        <f>IF(B95 = "", "", IF(FPWA_HelperTable[[#This Row],[President $ Change]]&lt;&gt;"", RANK(F95, $F$6:$F$262)+COUNTIF($F$6:F95, F95)-1, 0))</f>
        <v/>
      </c>
      <c r="J95" s="35" t="str">
        <f>IFERROR((IF(I95= 0, COUNTIF($I$6:I95, 0), "")+MAX($I$6:$I$262)), "")</f>
        <v/>
      </c>
      <c r="K95" s="35" t="str">
        <f t="shared" si="6"/>
        <v/>
      </c>
      <c r="N95" s="34">
        <v>90</v>
      </c>
      <c r="O95" s="33" t="str">
        <f t="shared" si="7"/>
        <v/>
      </c>
    </row>
    <row r="96" spans="2:15" x14ac:dyDescent="0.25">
      <c r="B96" s="35" t="str">
        <f>IF(Control!$O99="","",INDEX(MemberOrg_Data[CFDA], Control!$O99))</f>
        <v/>
      </c>
      <c r="C96" s="35" t="str">
        <f t="array" ref="C96">IFERROR(INDEX(MemberOrg_Data[FEDERALPROGRAMNAME], MATCH(1, (SelectMemberOrg = MemberOrg_Data[Auditee Name])*(B96 = MemberOrg_Data[CFDA]), 0)), "")</f>
        <v/>
      </c>
      <c r="D96" s="36" t="str">
        <f>IFERROR(IF(B96 &lt;&gt; "", SUMIFS(MemberOrg_Data[Total Amount], MemberOrg_Data[Auditee Name], SelectMemberOrg, MemberOrg_Data[CFDA], B96), ""), "")</f>
        <v/>
      </c>
      <c r="E96" s="37" t="str">
        <f>IFERROR(INDEX(BudgetApprop_Data[President: % Change from 2019], MATCH(B96, BudgetApprop_Data[CFDA], 0)), "")</f>
        <v/>
      </c>
      <c r="F96" s="36" t="str">
        <f t="shared" si="4"/>
        <v/>
      </c>
      <c r="G96" s="46" t="str">
        <f>IFERROR(INDEX(BudgetApprop_Data[House: % Change from 2019], MATCH(FPWA_HelperTable[[#This Row],[CFDA]], BudgetApprop_Data[CFDA], 0)), "")</f>
        <v/>
      </c>
      <c r="H96" s="36" t="str">
        <f t="shared" si="5"/>
        <v/>
      </c>
      <c r="I96" s="35" t="str">
        <f>IF(B96 = "", "", IF(FPWA_HelperTable[[#This Row],[President $ Change]]&lt;&gt;"", RANK(F96, $F$6:$F$262)+COUNTIF($F$6:F96, F96)-1, 0))</f>
        <v/>
      </c>
      <c r="J96" s="35" t="str">
        <f>IFERROR((IF(I96= 0, COUNTIF($I$6:I96, 0), "")+MAX($I$6:$I$262)), "")</f>
        <v/>
      </c>
      <c r="K96" s="35" t="str">
        <f t="shared" si="6"/>
        <v/>
      </c>
      <c r="N96" s="34">
        <v>91</v>
      </c>
      <c r="O96" s="33" t="str">
        <f t="shared" si="7"/>
        <v/>
      </c>
    </row>
    <row r="97" spans="2:15" x14ac:dyDescent="0.25">
      <c r="B97" s="35" t="str">
        <f>IF(Control!$O100="","",INDEX(MemberOrg_Data[CFDA], Control!$O100))</f>
        <v/>
      </c>
      <c r="C97" s="35" t="str">
        <f t="array" ref="C97">IFERROR(INDEX(MemberOrg_Data[FEDERALPROGRAMNAME], MATCH(1, (SelectMemberOrg = MemberOrg_Data[Auditee Name])*(B97 = MemberOrg_Data[CFDA]), 0)), "")</f>
        <v/>
      </c>
      <c r="D97" s="36" t="str">
        <f>IFERROR(IF(B97 &lt;&gt; "", SUMIFS(MemberOrg_Data[Total Amount], MemberOrg_Data[Auditee Name], SelectMemberOrg, MemberOrg_Data[CFDA], B97), ""), "")</f>
        <v/>
      </c>
      <c r="E97" s="37" t="str">
        <f>IFERROR(INDEX(BudgetApprop_Data[President: % Change from 2019], MATCH(B97, BudgetApprop_Data[CFDA], 0)), "")</f>
        <v/>
      </c>
      <c r="F97" s="36" t="str">
        <f t="shared" si="4"/>
        <v/>
      </c>
      <c r="G97" s="46" t="str">
        <f>IFERROR(INDEX(BudgetApprop_Data[House: % Change from 2019], MATCH(FPWA_HelperTable[[#This Row],[CFDA]], BudgetApprop_Data[CFDA], 0)), "")</f>
        <v/>
      </c>
      <c r="H97" s="36" t="str">
        <f t="shared" si="5"/>
        <v/>
      </c>
      <c r="I97" s="35" t="str">
        <f>IF(B97 = "", "", IF(FPWA_HelperTable[[#This Row],[President $ Change]]&lt;&gt;"", RANK(F97, $F$6:$F$262)+COUNTIF($F$6:F97, F97)-1, 0))</f>
        <v/>
      </c>
      <c r="J97" s="35" t="str">
        <f>IFERROR((IF(I97= 0, COUNTIF($I$6:I97, 0), "")+MAX($I$6:$I$262)), "")</f>
        <v/>
      </c>
      <c r="K97" s="35" t="str">
        <f t="shared" si="6"/>
        <v/>
      </c>
      <c r="N97" s="34">
        <v>92</v>
      </c>
      <c r="O97" s="33" t="str">
        <f t="shared" si="7"/>
        <v/>
      </c>
    </row>
    <row r="98" spans="2:15" x14ac:dyDescent="0.25">
      <c r="B98" s="35" t="str">
        <f>IF(Control!$O101="","",INDEX(MemberOrg_Data[CFDA], Control!$O101))</f>
        <v/>
      </c>
      <c r="C98" s="35" t="str">
        <f t="array" ref="C98">IFERROR(INDEX(MemberOrg_Data[FEDERALPROGRAMNAME], MATCH(1, (SelectMemberOrg = MemberOrg_Data[Auditee Name])*(B98 = MemberOrg_Data[CFDA]), 0)), "")</f>
        <v/>
      </c>
      <c r="D98" s="36" t="str">
        <f>IFERROR(IF(B98 &lt;&gt; "", SUMIFS(MemberOrg_Data[Total Amount], MemberOrg_Data[Auditee Name], SelectMemberOrg, MemberOrg_Data[CFDA], B98), ""), "")</f>
        <v/>
      </c>
      <c r="E98" s="37" t="str">
        <f>IFERROR(INDEX(BudgetApprop_Data[President: % Change from 2019], MATCH(B98, BudgetApprop_Data[CFDA], 0)), "")</f>
        <v/>
      </c>
      <c r="F98" s="36" t="str">
        <f t="shared" si="4"/>
        <v/>
      </c>
      <c r="G98" s="46" t="str">
        <f>IFERROR(INDEX(BudgetApprop_Data[House: % Change from 2019], MATCH(FPWA_HelperTable[[#This Row],[CFDA]], BudgetApprop_Data[CFDA], 0)), "")</f>
        <v/>
      </c>
      <c r="H98" s="36" t="str">
        <f t="shared" si="5"/>
        <v/>
      </c>
      <c r="I98" s="35" t="str">
        <f>IF(B98 = "", "", IF(FPWA_HelperTable[[#This Row],[President $ Change]]&lt;&gt;"", RANK(F98, $F$6:$F$262)+COUNTIF($F$6:F98, F98)-1, 0))</f>
        <v/>
      </c>
      <c r="J98" s="35" t="str">
        <f>IFERROR((IF(I98= 0, COUNTIF($I$6:I98, 0), "")+MAX($I$6:$I$262)), "")</f>
        <v/>
      </c>
      <c r="K98" s="35" t="str">
        <f t="shared" si="6"/>
        <v/>
      </c>
      <c r="N98" s="34">
        <v>93</v>
      </c>
      <c r="O98" s="33" t="str">
        <f t="shared" si="7"/>
        <v/>
      </c>
    </row>
    <row r="99" spans="2:15" x14ac:dyDescent="0.25">
      <c r="B99" s="35" t="str">
        <f>IF(Control!$O102="","",INDEX(MemberOrg_Data[CFDA], Control!$O102))</f>
        <v/>
      </c>
      <c r="C99" s="35" t="str">
        <f t="array" ref="C99">IFERROR(INDEX(MemberOrg_Data[FEDERALPROGRAMNAME], MATCH(1, (SelectMemberOrg = MemberOrg_Data[Auditee Name])*(B99 = MemberOrg_Data[CFDA]), 0)), "")</f>
        <v/>
      </c>
      <c r="D99" s="36" t="str">
        <f>IFERROR(IF(B99 &lt;&gt; "", SUMIFS(MemberOrg_Data[Total Amount], MemberOrg_Data[Auditee Name], SelectMemberOrg, MemberOrg_Data[CFDA], B99), ""), "")</f>
        <v/>
      </c>
      <c r="E99" s="37" t="str">
        <f>IFERROR(INDEX(BudgetApprop_Data[President: % Change from 2019], MATCH(B99, BudgetApprop_Data[CFDA], 0)), "")</f>
        <v/>
      </c>
      <c r="F99" s="36" t="str">
        <f t="shared" si="4"/>
        <v/>
      </c>
      <c r="G99" s="46" t="str">
        <f>IFERROR(INDEX(BudgetApprop_Data[House: % Change from 2019], MATCH(FPWA_HelperTable[[#This Row],[CFDA]], BudgetApprop_Data[CFDA], 0)), "")</f>
        <v/>
      </c>
      <c r="H99" s="36" t="str">
        <f t="shared" si="5"/>
        <v/>
      </c>
      <c r="I99" s="35" t="str">
        <f>IF(B99 = "", "", IF(FPWA_HelperTable[[#This Row],[President $ Change]]&lt;&gt;"", RANK(F99, $F$6:$F$262)+COUNTIF($F$6:F99, F99)-1, 0))</f>
        <v/>
      </c>
      <c r="J99" s="35" t="str">
        <f>IFERROR((IF(I99= 0, COUNTIF($I$6:I99, 0), "")+MAX($I$6:$I$262)), "")</f>
        <v/>
      </c>
      <c r="K99" s="35" t="str">
        <f t="shared" si="6"/>
        <v/>
      </c>
      <c r="N99" s="34">
        <v>94</v>
      </c>
      <c r="O99" s="33" t="str">
        <f t="shared" si="7"/>
        <v/>
      </c>
    </row>
    <row r="100" spans="2:15" x14ac:dyDescent="0.25">
      <c r="B100" s="35" t="str">
        <f>IF(Control!$O103="","",INDEX(MemberOrg_Data[CFDA], Control!$O103))</f>
        <v/>
      </c>
      <c r="C100" s="35" t="str">
        <f t="array" ref="C100">IFERROR(INDEX(MemberOrg_Data[FEDERALPROGRAMNAME], MATCH(1, (SelectMemberOrg = MemberOrg_Data[Auditee Name])*(B100 = MemberOrg_Data[CFDA]), 0)), "")</f>
        <v/>
      </c>
      <c r="D100" s="36" t="str">
        <f>IFERROR(IF(B100 &lt;&gt; "", SUMIFS(MemberOrg_Data[Total Amount], MemberOrg_Data[Auditee Name], SelectMemberOrg, MemberOrg_Data[CFDA], B100), ""), "")</f>
        <v/>
      </c>
      <c r="E100" s="37" t="str">
        <f>IFERROR(INDEX(BudgetApprop_Data[President: % Change from 2019], MATCH(B100, BudgetApprop_Data[CFDA], 0)), "")</f>
        <v/>
      </c>
      <c r="F100" s="36" t="str">
        <f t="shared" si="4"/>
        <v/>
      </c>
      <c r="G100" s="46" t="str">
        <f>IFERROR(INDEX(BudgetApprop_Data[House: % Change from 2019], MATCH(FPWA_HelperTable[[#This Row],[CFDA]], BudgetApprop_Data[CFDA], 0)), "")</f>
        <v/>
      </c>
      <c r="H100" s="36" t="str">
        <f t="shared" si="5"/>
        <v/>
      </c>
      <c r="I100" s="35" t="str">
        <f>IF(B100 = "", "", IF(FPWA_HelperTable[[#This Row],[President $ Change]]&lt;&gt;"", RANK(F100, $F$6:$F$262)+COUNTIF($F$6:F100, F100)-1, 0))</f>
        <v/>
      </c>
      <c r="J100" s="35" t="str">
        <f>IFERROR((IF(I100= 0, COUNTIF($I$6:I100, 0), "")+MAX($I$6:$I$262)), "")</f>
        <v/>
      </c>
      <c r="K100" s="35" t="str">
        <f t="shared" si="6"/>
        <v/>
      </c>
      <c r="N100" s="34">
        <v>95</v>
      </c>
      <c r="O100" s="33" t="str">
        <f t="shared" si="7"/>
        <v/>
      </c>
    </row>
    <row r="101" spans="2:15" x14ac:dyDescent="0.25">
      <c r="B101" s="35" t="str">
        <f>IF(Control!$O104="","",INDEX(MemberOrg_Data[CFDA], Control!$O104))</f>
        <v/>
      </c>
      <c r="C101" s="35" t="str">
        <f t="array" ref="C101">IFERROR(INDEX(MemberOrg_Data[FEDERALPROGRAMNAME], MATCH(1, (SelectMemberOrg = MemberOrg_Data[Auditee Name])*(B101 = MemberOrg_Data[CFDA]), 0)), "")</f>
        <v/>
      </c>
      <c r="D101" s="36" t="str">
        <f>IFERROR(IF(B101 &lt;&gt; "", SUMIFS(MemberOrg_Data[Total Amount], MemberOrg_Data[Auditee Name], SelectMemberOrg, MemberOrg_Data[CFDA], B101), ""), "")</f>
        <v/>
      </c>
      <c r="E101" s="37" t="str">
        <f>IFERROR(INDEX(BudgetApprop_Data[President: % Change from 2019], MATCH(B101, BudgetApprop_Data[CFDA], 0)), "")</f>
        <v/>
      </c>
      <c r="F101" s="36" t="str">
        <f t="shared" si="4"/>
        <v/>
      </c>
      <c r="G101" s="46" t="str">
        <f>IFERROR(INDEX(BudgetApprop_Data[House: % Change from 2019], MATCH(FPWA_HelperTable[[#This Row],[CFDA]], BudgetApprop_Data[CFDA], 0)), "")</f>
        <v/>
      </c>
      <c r="H101" s="36" t="str">
        <f t="shared" si="5"/>
        <v/>
      </c>
      <c r="I101" s="35" t="str">
        <f>IF(B101 = "", "", IF(FPWA_HelperTable[[#This Row],[President $ Change]]&lt;&gt;"", RANK(F101, $F$6:$F$262)+COUNTIF($F$6:F101, F101)-1, 0))</f>
        <v/>
      </c>
      <c r="J101" s="35" t="str">
        <f>IFERROR((IF(I101= 0, COUNTIF($I$6:I101, 0), "")+MAX($I$6:$I$262)), "")</f>
        <v/>
      </c>
      <c r="K101" s="35" t="str">
        <f t="shared" si="6"/>
        <v/>
      </c>
      <c r="N101" s="34">
        <v>96</v>
      </c>
      <c r="O101" s="33" t="str">
        <f t="shared" si="7"/>
        <v/>
      </c>
    </row>
    <row r="102" spans="2:15" x14ac:dyDescent="0.25">
      <c r="B102" s="35" t="str">
        <f>IF(Control!$O105="","",INDEX(MemberOrg_Data[CFDA], Control!$O105))</f>
        <v/>
      </c>
      <c r="C102" s="35" t="str">
        <f t="array" ref="C102">IFERROR(INDEX(MemberOrg_Data[FEDERALPROGRAMNAME], MATCH(1, (SelectMemberOrg = MemberOrg_Data[Auditee Name])*(B102 = MemberOrg_Data[CFDA]), 0)), "")</f>
        <v/>
      </c>
      <c r="D102" s="36" t="str">
        <f>IFERROR(IF(B102 &lt;&gt; "", SUMIFS(MemberOrg_Data[Total Amount], MemberOrg_Data[Auditee Name], SelectMemberOrg, MemberOrg_Data[CFDA], B102), ""), "")</f>
        <v/>
      </c>
      <c r="E102" s="37" t="str">
        <f>IFERROR(INDEX(BudgetApprop_Data[President: % Change from 2019], MATCH(B102, BudgetApprop_Data[CFDA], 0)), "")</f>
        <v/>
      </c>
      <c r="F102" s="36" t="str">
        <f t="shared" si="4"/>
        <v/>
      </c>
      <c r="G102" s="46" t="str">
        <f>IFERROR(INDEX(BudgetApprop_Data[House: % Change from 2019], MATCH(FPWA_HelperTable[[#This Row],[CFDA]], BudgetApprop_Data[CFDA], 0)), "")</f>
        <v/>
      </c>
      <c r="H102" s="36" t="str">
        <f t="shared" si="5"/>
        <v/>
      </c>
      <c r="I102" s="35" t="str">
        <f>IF(B102 = "", "", IF(FPWA_HelperTable[[#This Row],[President $ Change]]&lt;&gt;"", RANK(F102, $F$6:$F$262)+COUNTIF($F$6:F102, F102)-1, 0))</f>
        <v/>
      </c>
      <c r="J102" s="35" t="str">
        <f>IFERROR((IF(I102= 0, COUNTIF($I$6:I102, 0), "")+MAX($I$6:$I$262)), "")</f>
        <v/>
      </c>
      <c r="K102" s="35" t="str">
        <f t="shared" si="6"/>
        <v/>
      </c>
      <c r="N102" s="34">
        <v>97</v>
      </c>
      <c r="O102" s="33" t="str">
        <f t="shared" si="7"/>
        <v/>
      </c>
    </row>
    <row r="103" spans="2:15" x14ac:dyDescent="0.25">
      <c r="B103" s="35" t="str">
        <f>IF(Control!$O106="","",INDEX(MemberOrg_Data[CFDA], Control!$O106))</f>
        <v/>
      </c>
      <c r="C103" s="35" t="str">
        <f t="array" ref="C103">IFERROR(INDEX(MemberOrg_Data[FEDERALPROGRAMNAME], MATCH(1, (SelectMemberOrg = MemberOrg_Data[Auditee Name])*(B103 = MemberOrg_Data[CFDA]), 0)), "")</f>
        <v/>
      </c>
      <c r="D103" s="36" t="str">
        <f>IFERROR(IF(B103 &lt;&gt; "", SUMIFS(MemberOrg_Data[Total Amount], MemberOrg_Data[Auditee Name], SelectMemberOrg, MemberOrg_Data[CFDA], B103), ""), "")</f>
        <v/>
      </c>
      <c r="E103" s="37" t="str">
        <f>IFERROR(INDEX(BudgetApprop_Data[President: % Change from 2019], MATCH(B103, BudgetApprop_Data[CFDA], 0)), "")</f>
        <v/>
      </c>
      <c r="F103" s="36" t="str">
        <f t="shared" si="4"/>
        <v/>
      </c>
      <c r="G103" s="46" t="str">
        <f>IFERROR(INDEX(BudgetApprop_Data[House: % Change from 2019], MATCH(FPWA_HelperTable[[#This Row],[CFDA]], BudgetApprop_Data[CFDA], 0)), "")</f>
        <v/>
      </c>
      <c r="H103" s="36" t="str">
        <f t="shared" si="5"/>
        <v/>
      </c>
      <c r="I103" s="35" t="str">
        <f>IF(B103 = "", "", IF(FPWA_HelperTable[[#This Row],[President $ Change]]&lt;&gt;"", RANK(F103, $F$6:$F$262)+COUNTIF($F$6:F103, F103)-1, 0))</f>
        <v/>
      </c>
      <c r="J103" s="35" t="str">
        <f>IFERROR((IF(I103= 0, COUNTIF($I$6:I103, 0), "")+MAX($I$6:$I$262)), "")</f>
        <v/>
      </c>
      <c r="K103" s="35" t="str">
        <f t="shared" si="6"/>
        <v/>
      </c>
      <c r="N103" s="34">
        <v>98</v>
      </c>
      <c r="O103" s="33" t="str">
        <f t="shared" si="7"/>
        <v/>
      </c>
    </row>
    <row r="104" spans="2:15" x14ac:dyDescent="0.25">
      <c r="B104" s="35" t="str">
        <f>IF(Control!$O107="","",INDEX(MemberOrg_Data[CFDA], Control!$O107))</f>
        <v/>
      </c>
      <c r="C104" s="35" t="str">
        <f t="array" ref="C104">IFERROR(INDEX(MemberOrg_Data[FEDERALPROGRAMNAME], MATCH(1, (SelectMemberOrg = MemberOrg_Data[Auditee Name])*(B104 = MemberOrg_Data[CFDA]), 0)), "")</f>
        <v/>
      </c>
      <c r="D104" s="36" t="str">
        <f>IFERROR(IF(B104 &lt;&gt; "", SUMIFS(MemberOrg_Data[Total Amount], MemberOrg_Data[Auditee Name], SelectMemberOrg, MemberOrg_Data[CFDA], B104), ""), "")</f>
        <v/>
      </c>
      <c r="E104" s="37" t="str">
        <f>IFERROR(INDEX(BudgetApprop_Data[President: % Change from 2019], MATCH(B104, BudgetApprop_Data[CFDA], 0)), "")</f>
        <v/>
      </c>
      <c r="F104" s="36" t="str">
        <f t="shared" si="4"/>
        <v/>
      </c>
      <c r="G104" s="46" t="str">
        <f>IFERROR(INDEX(BudgetApprop_Data[House: % Change from 2019], MATCH(FPWA_HelperTable[[#This Row],[CFDA]], BudgetApprop_Data[CFDA], 0)), "")</f>
        <v/>
      </c>
      <c r="H104" s="36" t="str">
        <f t="shared" si="5"/>
        <v/>
      </c>
      <c r="I104" s="35" t="str">
        <f>IF(B104 = "", "", IF(FPWA_HelperTable[[#This Row],[President $ Change]]&lt;&gt;"", RANK(F104, $F$6:$F$262)+COUNTIF($F$6:F104, F104)-1, 0))</f>
        <v/>
      </c>
      <c r="J104" s="35" t="str">
        <f>IFERROR((IF(I104= 0, COUNTIF($I$6:I104, 0), "")+MAX($I$6:$I$262)), "")</f>
        <v/>
      </c>
      <c r="K104" s="35" t="str">
        <f t="shared" si="6"/>
        <v/>
      </c>
      <c r="N104" s="34">
        <v>99</v>
      </c>
      <c r="O104" s="33" t="str">
        <f t="shared" si="7"/>
        <v/>
      </c>
    </row>
    <row r="105" spans="2:15" x14ac:dyDescent="0.25">
      <c r="B105" s="35" t="str">
        <f>IF(Control!$O108="","",INDEX(MemberOrg_Data[CFDA], Control!$O108))</f>
        <v/>
      </c>
      <c r="C105" s="35" t="str">
        <f t="array" ref="C105">IFERROR(INDEX(MemberOrg_Data[FEDERALPROGRAMNAME], MATCH(1, (SelectMemberOrg = MemberOrg_Data[Auditee Name])*(B105 = MemberOrg_Data[CFDA]), 0)), "")</f>
        <v/>
      </c>
      <c r="D105" s="36" t="str">
        <f>IFERROR(IF(B105 &lt;&gt; "", SUMIFS(MemberOrg_Data[Total Amount], MemberOrg_Data[Auditee Name], SelectMemberOrg, MemberOrg_Data[CFDA], B105), ""), "")</f>
        <v/>
      </c>
      <c r="E105" s="37" t="str">
        <f>IFERROR(INDEX(BudgetApprop_Data[President: % Change from 2019], MATCH(B105, BudgetApprop_Data[CFDA], 0)), "")</f>
        <v/>
      </c>
      <c r="F105" s="36" t="str">
        <f t="shared" si="4"/>
        <v/>
      </c>
      <c r="G105" s="46" t="str">
        <f>IFERROR(INDEX(BudgetApprop_Data[House: % Change from 2019], MATCH(FPWA_HelperTable[[#This Row],[CFDA]], BudgetApprop_Data[CFDA], 0)), "")</f>
        <v/>
      </c>
      <c r="H105" s="36" t="str">
        <f t="shared" si="5"/>
        <v/>
      </c>
      <c r="I105" s="35" t="str">
        <f>IF(B105 = "", "", IF(FPWA_HelperTable[[#This Row],[President $ Change]]&lt;&gt;"", RANK(F105, $F$6:$F$262)+COUNTIF($F$6:F105, F105)-1, 0))</f>
        <v/>
      </c>
      <c r="J105" s="35" t="str">
        <f>IFERROR((IF(I105= 0, COUNTIF($I$6:I105, 0), "")+MAX($I$6:$I$262)), "")</f>
        <v/>
      </c>
      <c r="K105" s="35" t="str">
        <f t="shared" si="6"/>
        <v/>
      </c>
      <c r="N105" s="34">
        <v>100</v>
      </c>
      <c r="O105" s="33" t="str">
        <f t="shared" si="7"/>
        <v/>
      </c>
    </row>
    <row r="106" spans="2:15" x14ac:dyDescent="0.25">
      <c r="B106" s="35" t="str">
        <f>IF(Control!$O109="","",INDEX(MemberOrg_Data[CFDA], Control!$O109))</f>
        <v/>
      </c>
      <c r="C106" s="35" t="str">
        <f t="array" ref="C106">IFERROR(INDEX(MemberOrg_Data[FEDERALPROGRAMNAME], MATCH(1, (SelectMemberOrg = MemberOrg_Data[Auditee Name])*(B106 = MemberOrg_Data[CFDA]), 0)), "")</f>
        <v/>
      </c>
      <c r="D106" s="36" t="str">
        <f>IFERROR(IF(B106 &lt;&gt; "", SUMIFS(MemberOrg_Data[Total Amount], MemberOrg_Data[Auditee Name], SelectMemberOrg, MemberOrg_Data[CFDA], B106), ""), "")</f>
        <v/>
      </c>
      <c r="E106" s="37" t="str">
        <f>IFERROR(INDEX(BudgetApprop_Data[President: % Change from 2019], MATCH(B106, BudgetApprop_Data[CFDA], 0)), "")</f>
        <v/>
      </c>
      <c r="F106" s="36" t="str">
        <f t="shared" si="4"/>
        <v/>
      </c>
      <c r="G106" s="46" t="str">
        <f>IFERROR(INDEX(BudgetApprop_Data[House: % Change from 2019], MATCH(FPWA_HelperTable[[#This Row],[CFDA]], BudgetApprop_Data[CFDA], 0)), "")</f>
        <v/>
      </c>
      <c r="H106" s="36" t="str">
        <f t="shared" si="5"/>
        <v/>
      </c>
      <c r="I106" s="35" t="str">
        <f>IF(B106 = "", "", IF(FPWA_HelperTable[[#This Row],[President $ Change]]&lt;&gt;"", RANK(F106, $F$6:$F$262)+COUNTIF($F$6:F106, F106)-1, 0))</f>
        <v/>
      </c>
      <c r="J106" s="35" t="str">
        <f>IFERROR((IF(I106= 0, COUNTIF($I$6:I106, 0), "")+MAX($I$6:$I$262)), "")</f>
        <v/>
      </c>
      <c r="K106" s="35" t="str">
        <f t="shared" si="6"/>
        <v/>
      </c>
      <c r="N106" s="34">
        <v>101</v>
      </c>
      <c r="O106" s="33" t="str">
        <f t="shared" si="7"/>
        <v/>
      </c>
    </row>
    <row r="107" spans="2:15" x14ac:dyDescent="0.25">
      <c r="B107" s="35" t="str">
        <f>IF(Control!$O110="","",INDEX(MemberOrg_Data[CFDA], Control!$O110))</f>
        <v/>
      </c>
      <c r="C107" s="35" t="str">
        <f t="array" ref="C107">IFERROR(INDEX(MemberOrg_Data[FEDERALPROGRAMNAME], MATCH(1, (SelectMemberOrg = MemberOrg_Data[Auditee Name])*(B107 = MemberOrg_Data[CFDA]), 0)), "")</f>
        <v/>
      </c>
      <c r="D107" s="36" t="str">
        <f>IFERROR(IF(B107 &lt;&gt; "", SUMIFS(MemberOrg_Data[Total Amount], MemberOrg_Data[Auditee Name], SelectMemberOrg, MemberOrg_Data[CFDA], B107), ""), "")</f>
        <v/>
      </c>
      <c r="E107" s="37" t="str">
        <f>IFERROR(INDEX(BudgetApprop_Data[President: % Change from 2019], MATCH(B107, BudgetApprop_Data[CFDA], 0)), "")</f>
        <v/>
      </c>
      <c r="F107" s="36" t="str">
        <f t="shared" si="4"/>
        <v/>
      </c>
      <c r="G107" s="46" t="str">
        <f>IFERROR(INDEX(BudgetApprop_Data[House: % Change from 2019], MATCH(FPWA_HelperTable[[#This Row],[CFDA]], BudgetApprop_Data[CFDA], 0)), "")</f>
        <v/>
      </c>
      <c r="H107" s="36" t="str">
        <f t="shared" si="5"/>
        <v/>
      </c>
      <c r="I107" s="35" t="str">
        <f>IF(B107 = "", "", IF(FPWA_HelperTable[[#This Row],[President $ Change]]&lt;&gt;"", RANK(F107, $F$6:$F$262)+COUNTIF($F$6:F107, F107)-1, 0))</f>
        <v/>
      </c>
      <c r="J107" s="35" t="str">
        <f>IFERROR((IF(I107= 0, COUNTIF($I$6:I107, 0), "")+MAX($I$6:$I$262)), "")</f>
        <v/>
      </c>
      <c r="K107" s="35" t="str">
        <f t="shared" si="6"/>
        <v/>
      </c>
      <c r="N107" s="34">
        <v>102</v>
      </c>
      <c r="O107" s="33" t="str">
        <f t="shared" si="7"/>
        <v/>
      </c>
    </row>
    <row r="108" spans="2:15" x14ac:dyDescent="0.25">
      <c r="B108" s="35" t="str">
        <f>IF(Control!$O111="","",INDEX(MemberOrg_Data[CFDA], Control!$O111))</f>
        <v/>
      </c>
      <c r="C108" s="35" t="str">
        <f t="array" ref="C108">IFERROR(INDEX(MemberOrg_Data[FEDERALPROGRAMNAME], MATCH(1, (SelectMemberOrg = MemberOrg_Data[Auditee Name])*(B108 = MemberOrg_Data[CFDA]), 0)), "")</f>
        <v/>
      </c>
      <c r="D108" s="36" t="str">
        <f>IFERROR(IF(B108 &lt;&gt; "", SUMIFS(MemberOrg_Data[Total Amount], MemberOrg_Data[Auditee Name], SelectMemberOrg, MemberOrg_Data[CFDA], B108), ""), "")</f>
        <v/>
      </c>
      <c r="E108" s="37" t="str">
        <f>IFERROR(INDEX(BudgetApprop_Data[President: % Change from 2019], MATCH(B108, BudgetApprop_Data[CFDA], 0)), "")</f>
        <v/>
      </c>
      <c r="F108" s="36" t="str">
        <f t="shared" si="4"/>
        <v/>
      </c>
      <c r="G108" s="46" t="str">
        <f>IFERROR(INDEX(BudgetApprop_Data[House: % Change from 2019], MATCH(FPWA_HelperTable[[#This Row],[CFDA]], BudgetApprop_Data[CFDA], 0)), "")</f>
        <v/>
      </c>
      <c r="H108" s="36" t="str">
        <f t="shared" si="5"/>
        <v/>
      </c>
      <c r="I108" s="35" t="str">
        <f>IF(B108 = "", "", IF(FPWA_HelperTable[[#This Row],[President $ Change]]&lt;&gt;"", RANK(F108, $F$6:$F$262)+COUNTIF($F$6:F108, F108)-1, 0))</f>
        <v/>
      </c>
      <c r="J108" s="35" t="str">
        <f>IFERROR((IF(I108= 0, COUNTIF($I$6:I108, 0), "")+MAX($I$6:$I$262)), "")</f>
        <v/>
      </c>
      <c r="K108" s="35" t="str">
        <f t="shared" si="6"/>
        <v/>
      </c>
      <c r="N108" s="34">
        <v>103</v>
      </c>
      <c r="O108" s="33" t="str">
        <f t="shared" si="7"/>
        <v/>
      </c>
    </row>
    <row r="109" spans="2:15" x14ac:dyDescent="0.25">
      <c r="B109" s="35" t="str">
        <f>IF(Control!$O112="","",INDEX(MemberOrg_Data[CFDA], Control!$O112))</f>
        <v/>
      </c>
      <c r="C109" s="35" t="str">
        <f t="array" ref="C109">IFERROR(INDEX(MemberOrg_Data[FEDERALPROGRAMNAME], MATCH(1, (SelectMemberOrg = MemberOrg_Data[Auditee Name])*(B109 = MemberOrg_Data[CFDA]), 0)), "")</f>
        <v/>
      </c>
      <c r="D109" s="36" t="str">
        <f>IFERROR(IF(B109 &lt;&gt; "", SUMIFS(MemberOrg_Data[Total Amount], MemberOrg_Data[Auditee Name], SelectMemberOrg, MemberOrg_Data[CFDA], B109), ""), "")</f>
        <v/>
      </c>
      <c r="E109" s="37" t="str">
        <f>IFERROR(INDEX(BudgetApprop_Data[President: % Change from 2019], MATCH(B109, BudgetApprop_Data[CFDA], 0)), "")</f>
        <v/>
      </c>
      <c r="F109" s="36" t="str">
        <f t="shared" si="4"/>
        <v/>
      </c>
      <c r="G109" s="46" t="str">
        <f>IFERROR(INDEX(BudgetApprop_Data[House: % Change from 2019], MATCH(FPWA_HelperTable[[#This Row],[CFDA]], BudgetApprop_Data[CFDA], 0)), "")</f>
        <v/>
      </c>
      <c r="H109" s="36" t="str">
        <f t="shared" si="5"/>
        <v/>
      </c>
      <c r="I109" s="35" t="str">
        <f>IF(B109 = "", "", IF(FPWA_HelperTable[[#This Row],[President $ Change]]&lt;&gt;"", RANK(F109, $F$6:$F$262)+COUNTIF($F$6:F109, F109)-1, 0))</f>
        <v/>
      </c>
      <c r="J109" s="35" t="str">
        <f>IFERROR((IF(I109= 0, COUNTIF($I$6:I109, 0), "")+MAX($I$6:$I$262)), "")</f>
        <v/>
      </c>
      <c r="K109" s="35" t="str">
        <f t="shared" si="6"/>
        <v/>
      </c>
      <c r="N109" s="34">
        <v>104</v>
      </c>
      <c r="O109" s="33" t="str">
        <f t="shared" si="7"/>
        <v/>
      </c>
    </row>
    <row r="110" spans="2:15" x14ac:dyDescent="0.25">
      <c r="B110" s="35" t="str">
        <f>IF(Control!$O113="","",INDEX(MemberOrg_Data[CFDA], Control!$O113))</f>
        <v/>
      </c>
      <c r="C110" s="35" t="str">
        <f t="array" ref="C110">IFERROR(INDEX(MemberOrg_Data[FEDERALPROGRAMNAME], MATCH(1, (SelectMemberOrg = MemberOrg_Data[Auditee Name])*(B110 = MemberOrg_Data[CFDA]), 0)), "")</f>
        <v/>
      </c>
      <c r="D110" s="36" t="str">
        <f>IFERROR(IF(B110 &lt;&gt; "", SUMIFS(MemberOrg_Data[Total Amount], MemberOrg_Data[Auditee Name], SelectMemberOrg, MemberOrg_Data[CFDA], B110), ""), "")</f>
        <v/>
      </c>
      <c r="E110" s="37" t="str">
        <f>IFERROR(INDEX(BudgetApprop_Data[President: % Change from 2019], MATCH(B110, BudgetApprop_Data[CFDA], 0)), "")</f>
        <v/>
      </c>
      <c r="F110" s="36" t="str">
        <f t="shared" si="4"/>
        <v/>
      </c>
      <c r="G110" s="46" t="str">
        <f>IFERROR(INDEX(BudgetApprop_Data[House: % Change from 2019], MATCH(FPWA_HelperTable[[#This Row],[CFDA]], BudgetApprop_Data[CFDA], 0)), "")</f>
        <v/>
      </c>
      <c r="H110" s="36" t="str">
        <f t="shared" si="5"/>
        <v/>
      </c>
      <c r="I110" s="35" t="str">
        <f>IF(B110 = "", "", IF(FPWA_HelperTable[[#This Row],[President $ Change]]&lt;&gt;"", RANK(F110, $F$6:$F$262)+COUNTIF($F$6:F110, F110)-1, 0))</f>
        <v/>
      </c>
      <c r="J110" s="35" t="str">
        <f>IFERROR((IF(I110= 0, COUNTIF($I$6:I110, 0), "")+MAX($I$6:$I$262)), "")</f>
        <v/>
      </c>
      <c r="K110" s="35" t="str">
        <f t="shared" si="6"/>
        <v/>
      </c>
      <c r="N110" s="34">
        <v>105</v>
      </c>
      <c r="O110" s="33" t="str">
        <f t="shared" si="7"/>
        <v/>
      </c>
    </row>
    <row r="111" spans="2:15" x14ac:dyDescent="0.25">
      <c r="B111" s="35" t="str">
        <f>IF(Control!$O114="","",INDEX(MemberOrg_Data[CFDA], Control!$O114))</f>
        <v/>
      </c>
      <c r="C111" s="35" t="str">
        <f t="array" ref="C111">IFERROR(INDEX(MemberOrg_Data[FEDERALPROGRAMNAME], MATCH(1, (SelectMemberOrg = MemberOrg_Data[Auditee Name])*(B111 = MemberOrg_Data[CFDA]), 0)), "")</f>
        <v/>
      </c>
      <c r="D111" s="36" t="str">
        <f>IFERROR(IF(B111 &lt;&gt; "", SUMIFS(MemberOrg_Data[Total Amount], MemberOrg_Data[Auditee Name], SelectMemberOrg, MemberOrg_Data[CFDA], B111), ""), "")</f>
        <v/>
      </c>
      <c r="E111" s="37" t="str">
        <f>IFERROR(INDEX(BudgetApprop_Data[President: % Change from 2019], MATCH(B111, BudgetApprop_Data[CFDA], 0)), "")</f>
        <v/>
      </c>
      <c r="F111" s="36" t="str">
        <f t="shared" si="4"/>
        <v/>
      </c>
      <c r="G111" s="46" t="str">
        <f>IFERROR(INDEX(BudgetApprop_Data[House: % Change from 2019], MATCH(FPWA_HelperTable[[#This Row],[CFDA]], BudgetApprop_Data[CFDA], 0)), "")</f>
        <v/>
      </c>
      <c r="H111" s="36" t="str">
        <f t="shared" si="5"/>
        <v/>
      </c>
      <c r="I111" s="35" t="str">
        <f>IF(B111 = "", "", IF(FPWA_HelperTable[[#This Row],[President $ Change]]&lt;&gt;"", RANK(F111, $F$6:$F$262)+COUNTIF($F$6:F111, F111)-1, 0))</f>
        <v/>
      </c>
      <c r="J111" s="35" t="str">
        <f>IFERROR((IF(I111= 0, COUNTIF($I$6:I111, 0), "")+MAX($I$6:$I$262)), "")</f>
        <v/>
      </c>
      <c r="K111" s="35" t="str">
        <f t="shared" si="6"/>
        <v/>
      </c>
      <c r="N111" s="34">
        <v>106</v>
      </c>
      <c r="O111" s="33" t="str">
        <f t="shared" si="7"/>
        <v/>
      </c>
    </row>
    <row r="112" spans="2:15" x14ac:dyDescent="0.25">
      <c r="B112" s="35" t="str">
        <f>IF(Control!$O115="","",INDEX(MemberOrg_Data[CFDA], Control!$O115))</f>
        <v/>
      </c>
      <c r="C112" s="35" t="str">
        <f t="array" ref="C112">IFERROR(INDEX(MemberOrg_Data[FEDERALPROGRAMNAME], MATCH(1, (SelectMemberOrg = MemberOrg_Data[Auditee Name])*(B112 = MemberOrg_Data[CFDA]), 0)), "")</f>
        <v/>
      </c>
      <c r="D112" s="36" t="str">
        <f>IFERROR(IF(B112 &lt;&gt; "", SUMIFS(MemberOrg_Data[Total Amount], MemberOrg_Data[Auditee Name], SelectMemberOrg, MemberOrg_Data[CFDA], B112), ""), "")</f>
        <v/>
      </c>
      <c r="E112" s="37" t="str">
        <f>IFERROR(INDEX(BudgetApprop_Data[President: % Change from 2019], MATCH(B112, BudgetApprop_Data[CFDA], 0)), "")</f>
        <v/>
      </c>
      <c r="F112" s="36" t="str">
        <f t="shared" si="4"/>
        <v/>
      </c>
      <c r="G112" s="46" t="str">
        <f>IFERROR(INDEX(BudgetApprop_Data[House: % Change from 2019], MATCH(FPWA_HelperTable[[#This Row],[CFDA]], BudgetApprop_Data[CFDA], 0)), "")</f>
        <v/>
      </c>
      <c r="H112" s="36" t="str">
        <f t="shared" si="5"/>
        <v/>
      </c>
      <c r="I112" s="35" t="str">
        <f>IF(B112 = "", "", IF(FPWA_HelperTable[[#This Row],[President $ Change]]&lt;&gt;"", RANK(F112, $F$6:$F$262)+COUNTIF($F$6:F112, F112)-1, 0))</f>
        <v/>
      </c>
      <c r="J112" s="35" t="str">
        <f>IFERROR((IF(I112= 0, COUNTIF($I$6:I112, 0), "")+MAX($I$6:$I$262)), "")</f>
        <v/>
      </c>
      <c r="K112" s="35" t="str">
        <f t="shared" si="6"/>
        <v/>
      </c>
      <c r="N112" s="34">
        <v>107</v>
      </c>
      <c r="O112" s="33" t="str">
        <f t="shared" si="7"/>
        <v/>
      </c>
    </row>
    <row r="113" spans="2:15" x14ac:dyDescent="0.25">
      <c r="B113" s="35" t="str">
        <f>IF(Control!$O116="","",INDEX(MemberOrg_Data[CFDA], Control!$O116))</f>
        <v/>
      </c>
      <c r="C113" s="35" t="str">
        <f t="array" ref="C113">IFERROR(INDEX(MemberOrg_Data[FEDERALPROGRAMNAME], MATCH(1, (SelectMemberOrg = MemberOrg_Data[Auditee Name])*(B113 = MemberOrg_Data[CFDA]), 0)), "")</f>
        <v/>
      </c>
      <c r="D113" s="36" t="str">
        <f>IFERROR(IF(B113 &lt;&gt; "", SUMIFS(MemberOrg_Data[Total Amount], MemberOrg_Data[Auditee Name], SelectMemberOrg, MemberOrg_Data[CFDA], B113), ""), "")</f>
        <v/>
      </c>
      <c r="E113" s="37" t="str">
        <f>IFERROR(INDEX(BudgetApprop_Data[President: % Change from 2019], MATCH(B113, BudgetApprop_Data[CFDA], 0)), "")</f>
        <v/>
      </c>
      <c r="F113" s="36" t="str">
        <f t="shared" si="4"/>
        <v/>
      </c>
      <c r="G113" s="46" t="str">
        <f>IFERROR(INDEX(BudgetApprop_Data[House: % Change from 2019], MATCH(FPWA_HelperTable[[#This Row],[CFDA]], BudgetApprop_Data[CFDA], 0)), "")</f>
        <v/>
      </c>
      <c r="H113" s="36" t="str">
        <f t="shared" si="5"/>
        <v/>
      </c>
      <c r="I113" s="35" t="str">
        <f>IF(B113 = "", "", IF(FPWA_HelperTable[[#This Row],[President $ Change]]&lt;&gt;"", RANK(F113, $F$6:$F$262)+COUNTIF($F$6:F113, F113)-1, 0))</f>
        <v/>
      </c>
      <c r="J113" s="35" t="str">
        <f>IFERROR((IF(I113= 0, COUNTIF($I$6:I113, 0), "")+MAX($I$6:$I$262)), "")</f>
        <v/>
      </c>
      <c r="K113" s="35" t="str">
        <f t="shared" si="6"/>
        <v/>
      </c>
      <c r="N113" s="34">
        <v>108</v>
      </c>
      <c r="O113" s="33" t="str">
        <f t="shared" si="7"/>
        <v/>
      </c>
    </row>
    <row r="114" spans="2:15" x14ac:dyDescent="0.25">
      <c r="B114" s="35" t="str">
        <f>IF(Control!$O117="","",INDEX(MemberOrg_Data[CFDA], Control!$O117))</f>
        <v/>
      </c>
      <c r="C114" s="35" t="str">
        <f t="array" ref="C114">IFERROR(INDEX(MemberOrg_Data[FEDERALPROGRAMNAME], MATCH(1, (SelectMemberOrg = MemberOrg_Data[Auditee Name])*(B114 = MemberOrg_Data[CFDA]), 0)), "")</f>
        <v/>
      </c>
      <c r="D114" s="36" t="str">
        <f>IFERROR(IF(B114 &lt;&gt; "", SUMIFS(MemberOrg_Data[Total Amount], MemberOrg_Data[Auditee Name], SelectMemberOrg, MemberOrg_Data[CFDA], B114), ""), "")</f>
        <v/>
      </c>
      <c r="E114" s="37" t="str">
        <f>IFERROR(INDEX(BudgetApprop_Data[President: % Change from 2019], MATCH(B114, BudgetApprop_Data[CFDA], 0)), "")</f>
        <v/>
      </c>
      <c r="F114" s="36" t="str">
        <f t="shared" si="4"/>
        <v/>
      </c>
      <c r="G114" s="46" t="str">
        <f>IFERROR(INDEX(BudgetApprop_Data[House: % Change from 2019], MATCH(FPWA_HelperTable[[#This Row],[CFDA]], BudgetApprop_Data[CFDA], 0)), "")</f>
        <v/>
      </c>
      <c r="H114" s="36" t="str">
        <f t="shared" si="5"/>
        <v/>
      </c>
      <c r="I114" s="35" t="str">
        <f>IF(B114 = "", "", IF(FPWA_HelperTable[[#This Row],[President $ Change]]&lt;&gt;"", RANK(F114, $F$6:$F$262)+COUNTIF($F$6:F114, F114)-1, 0))</f>
        <v/>
      </c>
      <c r="J114" s="35" t="str">
        <f>IFERROR((IF(I114= 0, COUNTIF($I$6:I114, 0), "")+MAX($I$6:$I$262)), "")</f>
        <v/>
      </c>
      <c r="K114" s="35" t="str">
        <f t="shared" si="6"/>
        <v/>
      </c>
      <c r="N114" s="34">
        <v>109</v>
      </c>
      <c r="O114" s="33" t="str">
        <f t="shared" si="7"/>
        <v/>
      </c>
    </row>
    <row r="115" spans="2:15" x14ac:dyDescent="0.25">
      <c r="B115" s="35" t="str">
        <f>IF(Control!$O118="","",INDEX(MemberOrg_Data[CFDA], Control!$O118))</f>
        <v/>
      </c>
      <c r="C115" s="35" t="str">
        <f t="array" ref="C115">IFERROR(INDEX(MemberOrg_Data[FEDERALPROGRAMNAME], MATCH(1, (SelectMemberOrg = MemberOrg_Data[Auditee Name])*(B115 = MemberOrg_Data[CFDA]), 0)), "")</f>
        <v/>
      </c>
      <c r="D115" s="36" t="str">
        <f>IFERROR(IF(B115 &lt;&gt; "", SUMIFS(MemberOrg_Data[Total Amount], MemberOrg_Data[Auditee Name], SelectMemberOrg, MemberOrg_Data[CFDA], B115), ""), "")</f>
        <v/>
      </c>
      <c r="E115" s="37" t="str">
        <f>IFERROR(INDEX(BudgetApprop_Data[President: % Change from 2019], MATCH(B115, BudgetApprop_Data[CFDA], 0)), "")</f>
        <v/>
      </c>
      <c r="F115" s="36" t="str">
        <f t="shared" si="4"/>
        <v/>
      </c>
      <c r="G115" s="46" t="str">
        <f>IFERROR(INDEX(BudgetApprop_Data[House: % Change from 2019], MATCH(FPWA_HelperTable[[#This Row],[CFDA]], BudgetApprop_Data[CFDA], 0)), "")</f>
        <v/>
      </c>
      <c r="H115" s="36" t="str">
        <f t="shared" si="5"/>
        <v/>
      </c>
      <c r="I115" s="35" t="str">
        <f>IF(B115 = "", "", IF(FPWA_HelperTable[[#This Row],[President $ Change]]&lt;&gt;"", RANK(F115, $F$6:$F$262)+COUNTIF($F$6:F115, F115)-1, 0))</f>
        <v/>
      </c>
      <c r="J115" s="35" t="str">
        <f>IFERROR((IF(I115= 0, COUNTIF($I$6:I115, 0), "")+MAX($I$6:$I$262)), "")</f>
        <v/>
      </c>
      <c r="K115" s="35" t="str">
        <f t="shared" si="6"/>
        <v/>
      </c>
      <c r="N115" s="34">
        <v>110</v>
      </c>
      <c r="O115" s="33" t="str">
        <f t="shared" si="7"/>
        <v/>
      </c>
    </row>
    <row r="116" spans="2:15" x14ac:dyDescent="0.25">
      <c r="B116" s="35" t="str">
        <f>IF(Control!$O119="","",INDEX(MemberOrg_Data[CFDA], Control!$O119))</f>
        <v/>
      </c>
      <c r="C116" s="35" t="str">
        <f t="array" ref="C116">IFERROR(INDEX(MemberOrg_Data[FEDERALPROGRAMNAME], MATCH(1, (SelectMemberOrg = MemberOrg_Data[Auditee Name])*(B116 = MemberOrg_Data[CFDA]), 0)), "")</f>
        <v/>
      </c>
      <c r="D116" s="36" t="str">
        <f>IFERROR(IF(B116 &lt;&gt; "", SUMIFS(MemberOrg_Data[Total Amount], MemberOrg_Data[Auditee Name], SelectMemberOrg, MemberOrg_Data[CFDA], B116), ""), "")</f>
        <v/>
      </c>
      <c r="E116" s="37" t="str">
        <f>IFERROR(INDEX(BudgetApprop_Data[President: % Change from 2019], MATCH(B116, BudgetApprop_Data[CFDA], 0)), "")</f>
        <v/>
      </c>
      <c r="F116" s="36" t="str">
        <f t="shared" si="4"/>
        <v/>
      </c>
      <c r="G116" s="46" t="str">
        <f>IFERROR(INDEX(BudgetApprop_Data[House: % Change from 2019], MATCH(FPWA_HelperTable[[#This Row],[CFDA]], BudgetApprop_Data[CFDA], 0)), "")</f>
        <v/>
      </c>
      <c r="H116" s="36" t="str">
        <f t="shared" si="5"/>
        <v/>
      </c>
      <c r="I116" s="35" t="str">
        <f>IF(B116 = "", "", IF(FPWA_HelperTable[[#This Row],[President $ Change]]&lt;&gt;"", RANK(F116, $F$6:$F$262)+COUNTIF($F$6:F116, F116)-1, 0))</f>
        <v/>
      </c>
      <c r="J116" s="35" t="str">
        <f>IFERROR((IF(I116= 0, COUNTIF($I$6:I116, 0), "")+MAX($I$6:$I$262)), "")</f>
        <v/>
      </c>
      <c r="K116" s="35" t="str">
        <f t="shared" si="6"/>
        <v/>
      </c>
      <c r="N116" s="34">
        <v>111</v>
      </c>
      <c r="O116" s="33" t="str">
        <f t="shared" si="7"/>
        <v/>
      </c>
    </row>
    <row r="117" spans="2:15" x14ac:dyDescent="0.25">
      <c r="B117" s="35" t="str">
        <f>IF(Control!$O120="","",INDEX(MemberOrg_Data[CFDA], Control!$O120))</f>
        <v/>
      </c>
      <c r="C117" s="35" t="str">
        <f t="array" ref="C117">IFERROR(INDEX(MemberOrg_Data[FEDERALPROGRAMNAME], MATCH(1, (SelectMemberOrg = MemberOrg_Data[Auditee Name])*(B117 = MemberOrg_Data[CFDA]), 0)), "")</f>
        <v/>
      </c>
      <c r="D117" s="36" t="str">
        <f>IFERROR(IF(B117 &lt;&gt; "", SUMIFS(MemberOrg_Data[Total Amount], MemberOrg_Data[Auditee Name], SelectMemberOrg, MemberOrg_Data[CFDA], B117), ""), "")</f>
        <v/>
      </c>
      <c r="E117" s="37" t="str">
        <f>IFERROR(INDEX(BudgetApprop_Data[President: % Change from 2019], MATCH(B117, BudgetApprop_Data[CFDA], 0)), "")</f>
        <v/>
      </c>
      <c r="F117" s="36" t="str">
        <f t="shared" si="4"/>
        <v/>
      </c>
      <c r="G117" s="46" t="str">
        <f>IFERROR(INDEX(BudgetApprop_Data[House: % Change from 2019], MATCH(FPWA_HelperTable[[#This Row],[CFDA]], BudgetApprop_Data[CFDA], 0)), "")</f>
        <v/>
      </c>
      <c r="H117" s="36" t="str">
        <f t="shared" si="5"/>
        <v/>
      </c>
      <c r="I117" s="35" t="str">
        <f>IF(B117 = "", "", IF(FPWA_HelperTable[[#This Row],[President $ Change]]&lt;&gt;"", RANK(F117, $F$6:$F$262)+COUNTIF($F$6:F117, F117)-1, 0))</f>
        <v/>
      </c>
      <c r="J117" s="35" t="str">
        <f>IFERROR((IF(I117= 0, COUNTIF($I$6:I117, 0), "")+MAX($I$6:$I$262)), "")</f>
        <v/>
      </c>
      <c r="K117" s="35" t="str">
        <f t="shared" si="6"/>
        <v/>
      </c>
      <c r="N117" s="34">
        <v>112</v>
      </c>
      <c r="O117" s="33" t="str">
        <f t="shared" si="7"/>
        <v/>
      </c>
    </row>
    <row r="118" spans="2:15" x14ac:dyDescent="0.25">
      <c r="B118" s="35" t="str">
        <f>IF(Control!$O121="","",INDEX(MemberOrg_Data[CFDA], Control!$O121))</f>
        <v/>
      </c>
      <c r="C118" s="35" t="str">
        <f t="array" ref="C118">IFERROR(INDEX(MemberOrg_Data[FEDERALPROGRAMNAME], MATCH(1, (SelectMemberOrg = MemberOrg_Data[Auditee Name])*(B118 = MemberOrg_Data[CFDA]), 0)), "")</f>
        <v/>
      </c>
      <c r="D118" s="36" t="str">
        <f>IFERROR(IF(B118 &lt;&gt; "", SUMIFS(MemberOrg_Data[Total Amount], MemberOrg_Data[Auditee Name], SelectMemberOrg, MemberOrg_Data[CFDA], B118), ""), "")</f>
        <v/>
      </c>
      <c r="E118" s="37" t="str">
        <f>IFERROR(INDEX(BudgetApprop_Data[President: % Change from 2019], MATCH(B118, BudgetApprop_Data[CFDA], 0)), "")</f>
        <v/>
      </c>
      <c r="F118" s="36" t="str">
        <f t="shared" si="4"/>
        <v/>
      </c>
      <c r="G118" s="46" t="str">
        <f>IFERROR(INDEX(BudgetApprop_Data[House: % Change from 2019], MATCH(FPWA_HelperTable[[#This Row],[CFDA]], BudgetApprop_Data[CFDA], 0)), "")</f>
        <v/>
      </c>
      <c r="H118" s="36" t="str">
        <f t="shared" si="5"/>
        <v/>
      </c>
      <c r="I118" s="35" t="str">
        <f>IF(B118 = "", "", IF(FPWA_HelperTable[[#This Row],[President $ Change]]&lt;&gt;"", RANK(F118, $F$6:$F$262)+COUNTIF($F$6:F118, F118)-1, 0))</f>
        <v/>
      </c>
      <c r="J118" s="35" t="str">
        <f>IFERROR((IF(I118= 0, COUNTIF($I$6:I118, 0), "")+MAX($I$6:$I$262)), "")</f>
        <v/>
      </c>
      <c r="K118" s="35" t="str">
        <f t="shared" si="6"/>
        <v/>
      </c>
      <c r="N118" s="34">
        <v>113</v>
      </c>
      <c r="O118" s="33" t="str">
        <f t="shared" si="7"/>
        <v/>
      </c>
    </row>
    <row r="119" spans="2:15" x14ac:dyDescent="0.25">
      <c r="B119" s="35" t="str">
        <f>IF(Control!$O122="","",INDEX(MemberOrg_Data[CFDA], Control!$O122))</f>
        <v/>
      </c>
      <c r="C119" s="35" t="str">
        <f t="array" ref="C119">IFERROR(INDEX(MemberOrg_Data[FEDERALPROGRAMNAME], MATCH(1, (SelectMemberOrg = MemberOrg_Data[Auditee Name])*(B119 = MemberOrg_Data[CFDA]), 0)), "")</f>
        <v/>
      </c>
      <c r="D119" s="36" t="str">
        <f>IFERROR(IF(B119 &lt;&gt; "", SUMIFS(MemberOrg_Data[Total Amount], MemberOrg_Data[Auditee Name], SelectMemberOrg, MemberOrg_Data[CFDA], B119), ""), "")</f>
        <v/>
      </c>
      <c r="E119" s="37" t="str">
        <f>IFERROR(INDEX(BudgetApprop_Data[President: % Change from 2019], MATCH(B119, BudgetApprop_Data[CFDA], 0)), "")</f>
        <v/>
      </c>
      <c r="F119" s="36" t="str">
        <f t="shared" si="4"/>
        <v/>
      </c>
      <c r="G119" s="46" t="str">
        <f>IFERROR(INDEX(BudgetApprop_Data[House: % Change from 2019], MATCH(FPWA_HelperTable[[#This Row],[CFDA]], BudgetApprop_Data[CFDA], 0)), "")</f>
        <v/>
      </c>
      <c r="H119" s="36" t="str">
        <f t="shared" si="5"/>
        <v/>
      </c>
      <c r="I119" s="35" t="str">
        <f>IF(B119 = "", "", IF(FPWA_HelperTable[[#This Row],[President $ Change]]&lt;&gt;"", RANK(F119, $F$6:$F$262)+COUNTIF($F$6:F119, F119)-1, 0))</f>
        <v/>
      </c>
      <c r="J119" s="35" t="str">
        <f>IFERROR((IF(I119= 0, COUNTIF($I$6:I119, 0), "")+MAX($I$6:$I$262)), "")</f>
        <v/>
      </c>
      <c r="K119" s="35" t="str">
        <f t="shared" si="6"/>
        <v/>
      </c>
      <c r="N119" s="34">
        <v>114</v>
      </c>
      <c r="O119" s="33" t="str">
        <f t="shared" si="7"/>
        <v/>
      </c>
    </row>
    <row r="120" spans="2:15" x14ac:dyDescent="0.25">
      <c r="B120" s="35" t="str">
        <f>IF(Control!$O123="","",INDEX(MemberOrg_Data[CFDA], Control!$O123))</f>
        <v/>
      </c>
      <c r="C120" s="35" t="str">
        <f t="array" ref="C120">IFERROR(INDEX(MemberOrg_Data[FEDERALPROGRAMNAME], MATCH(1, (SelectMemberOrg = MemberOrg_Data[Auditee Name])*(B120 = MemberOrg_Data[CFDA]), 0)), "")</f>
        <v/>
      </c>
      <c r="D120" s="36" t="str">
        <f>IFERROR(IF(B120 &lt;&gt; "", SUMIFS(MemberOrg_Data[Total Amount], MemberOrg_Data[Auditee Name], SelectMemberOrg, MemberOrg_Data[CFDA], B120), ""), "")</f>
        <v/>
      </c>
      <c r="E120" s="37" t="str">
        <f>IFERROR(INDEX(BudgetApprop_Data[President: % Change from 2019], MATCH(B120, BudgetApprop_Data[CFDA], 0)), "")</f>
        <v/>
      </c>
      <c r="F120" s="36" t="str">
        <f t="shared" si="4"/>
        <v/>
      </c>
      <c r="G120" s="46" t="str">
        <f>IFERROR(INDEX(BudgetApprop_Data[House: % Change from 2019], MATCH(FPWA_HelperTable[[#This Row],[CFDA]], BudgetApprop_Data[CFDA], 0)), "")</f>
        <v/>
      </c>
      <c r="H120" s="36" t="str">
        <f t="shared" si="5"/>
        <v/>
      </c>
      <c r="I120" s="35" t="str">
        <f>IF(B120 = "", "", IF(FPWA_HelperTable[[#This Row],[President $ Change]]&lt;&gt;"", RANK(F120, $F$6:$F$262)+COUNTIF($F$6:F120, F120)-1, 0))</f>
        <v/>
      </c>
      <c r="J120" s="35" t="str">
        <f>IFERROR((IF(I120= 0, COUNTIF($I$6:I120, 0), "")+MAX($I$6:$I$262)), "")</f>
        <v/>
      </c>
      <c r="K120" s="35" t="str">
        <f t="shared" si="6"/>
        <v/>
      </c>
      <c r="N120" s="34">
        <v>115</v>
      </c>
      <c r="O120" s="33" t="str">
        <f t="shared" si="7"/>
        <v/>
      </c>
    </row>
    <row r="121" spans="2:15" x14ac:dyDescent="0.25">
      <c r="B121" s="35" t="str">
        <f>IF(Control!$O124="","",INDEX(MemberOrg_Data[CFDA], Control!$O124))</f>
        <v/>
      </c>
      <c r="C121" s="35" t="str">
        <f t="array" ref="C121">IFERROR(INDEX(MemberOrg_Data[FEDERALPROGRAMNAME], MATCH(1, (SelectMemberOrg = MemberOrg_Data[Auditee Name])*(B121 = MemberOrg_Data[CFDA]), 0)), "")</f>
        <v/>
      </c>
      <c r="D121" s="36" t="str">
        <f>IFERROR(IF(B121 &lt;&gt; "", SUMIFS(MemberOrg_Data[Total Amount], MemberOrg_Data[Auditee Name], SelectMemberOrg, MemberOrg_Data[CFDA], B121), ""), "")</f>
        <v/>
      </c>
      <c r="E121" s="37" t="str">
        <f>IFERROR(INDEX(BudgetApprop_Data[President: % Change from 2019], MATCH(B121, BudgetApprop_Data[CFDA], 0)), "")</f>
        <v/>
      </c>
      <c r="F121" s="36" t="str">
        <f t="shared" si="4"/>
        <v/>
      </c>
      <c r="G121" s="46" t="str">
        <f>IFERROR(INDEX(BudgetApprop_Data[House: % Change from 2019], MATCH(FPWA_HelperTable[[#This Row],[CFDA]], BudgetApprop_Data[CFDA], 0)), "")</f>
        <v/>
      </c>
      <c r="H121" s="36" t="str">
        <f t="shared" si="5"/>
        <v/>
      </c>
      <c r="I121" s="35" t="str">
        <f>IF(B121 = "", "", IF(FPWA_HelperTable[[#This Row],[President $ Change]]&lt;&gt;"", RANK(F121, $F$6:$F$262)+COUNTIF($F$6:F121, F121)-1, 0))</f>
        <v/>
      </c>
      <c r="J121" s="35" t="str">
        <f>IFERROR((IF(I121= 0, COUNTIF($I$6:I121, 0), "")+MAX($I$6:$I$262)), "")</f>
        <v/>
      </c>
      <c r="K121" s="35" t="str">
        <f t="shared" si="6"/>
        <v/>
      </c>
      <c r="N121" s="34">
        <v>116</v>
      </c>
      <c r="O121" s="33" t="str">
        <f t="shared" si="7"/>
        <v/>
      </c>
    </row>
    <row r="122" spans="2:15" x14ac:dyDescent="0.25">
      <c r="B122" s="35" t="str">
        <f>IF(Control!$O125="","",INDEX(MemberOrg_Data[CFDA], Control!$O125))</f>
        <v/>
      </c>
      <c r="C122" s="35" t="str">
        <f t="array" ref="C122">IFERROR(INDEX(MemberOrg_Data[FEDERALPROGRAMNAME], MATCH(1, (SelectMemberOrg = MemberOrg_Data[Auditee Name])*(B122 = MemberOrg_Data[CFDA]), 0)), "")</f>
        <v/>
      </c>
      <c r="D122" s="36" t="str">
        <f>IFERROR(IF(B122 &lt;&gt; "", SUMIFS(MemberOrg_Data[Total Amount], MemberOrg_Data[Auditee Name], SelectMemberOrg, MemberOrg_Data[CFDA], B122), ""), "")</f>
        <v/>
      </c>
      <c r="E122" s="37" t="str">
        <f>IFERROR(INDEX(BudgetApprop_Data[President: % Change from 2019], MATCH(B122, BudgetApprop_Data[CFDA], 0)), "")</f>
        <v/>
      </c>
      <c r="F122" s="36" t="str">
        <f t="shared" si="4"/>
        <v/>
      </c>
      <c r="G122" s="46" t="str">
        <f>IFERROR(INDEX(BudgetApprop_Data[House: % Change from 2019], MATCH(FPWA_HelperTable[[#This Row],[CFDA]], BudgetApprop_Data[CFDA], 0)), "")</f>
        <v/>
      </c>
      <c r="H122" s="36" t="str">
        <f t="shared" si="5"/>
        <v/>
      </c>
      <c r="I122" s="35" t="str">
        <f>IF(B122 = "", "", IF(FPWA_HelperTable[[#This Row],[President $ Change]]&lt;&gt;"", RANK(F122, $F$6:$F$262)+COUNTIF($F$6:F122, F122)-1, 0))</f>
        <v/>
      </c>
      <c r="J122" s="35" t="str">
        <f>IFERROR((IF(I122= 0, COUNTIF($I$6:I122, 0), "")+MAX($I$6:$I$262)), "")</f>
        <v/>
      </c>
      <c r="K122" s="35" t="str">
        <f t="shared" si="6"/>
        <v/>
      </c>
      <c r="N122" s="34">
        <v>117</v>
      </c>
      <c r="O122" s="33" t="str">
        <f t="shared" si="7"/>
        <v/>
      </c>
    </row>
    <row r="123" spans="2:15" x14ac:dyDescent="0.25">
      <c r="B123" s="35" t="str">
        <f>IF(Control!$O126="","",INDEX(MemberOrg_Data[CFDA], Control!$O126))</f>
        <v/>
      </c>
      <c r="C123" s="35" t="str">
        <f t="array" ref="C123">IFERROR(INDEX(MemberOrg_Data[FEDERALPROGRAMNAME], MATCH(1, (SelectMemberOrg = MemberOrg_Data[Auditee Name])*(B123 = MemberOrg_Data[CFDA]), 0)), "")</f>
        <v/>
      </c>
      <c r="D123" s="36" t="str">
        <f>IFERROR(IF(B123 &lt;&gt; "", SUMIFS(MemberOrg_Data[Total Amount], MemberOrg_Data[Auditee Name], SelectMemberOrg, MemberOrg_Data[CFDA], B123), ""), "")</f>
        <v/>
      </c>
      <c r="E123" s="37" t="str">
        <f>IFERROR(INDEX(BudgetApprop_Data[President: % Change from 2019], MATCH(B123, BudgetApprop_Data[CFDA], 0)), "")</f>
        <v/>
      </c>
      <c r="F123" s="36" t="str">
        <f t="shared" si="4"/>
        <v/>
      </c>
      <c r="G123" s="46" t="str">
        <f>IFERROR(INDEX(BudgetApprop_Data[House: % Change from 2019], MATCH(FPWA_HelperTable[[#This Row],[CFDA]], BudgetApprop_Data[CFDA], 0)), "")</f>
        <v/>
      </c>
      <c r="H123" s="36" t="str">
        <f t="shared" si="5"/>
        <v/>
      </c>
      <c r="I123" s="35" t="str">
        <f>IF(B123 = "", "", IF(FPWA_HelperTable[[#This Row],[President $ Change]]&lt;&gt;"", RANK(F123, $F$6:$F$262)+COUNTIF($F$6:F123, F123)-1, 0))</f>
        <v/>
      </c>
      <c r="J123" s="35" t="str">
        <f>IFERROR((IF(I123= 0, COUNTIF($I$6:I123, 0), "")+MAX($I$6:$I$262)), "")</f>
        <v/>
      </c>
      <c r="K123" s="35" t="str">
        <f t="shared" si="6"/>
        <v/>
      </c>
      <c r="N123" s="34">
        <v>118</v>
      </c>
      <c r="O123" s="33" t="str">
        <f t="shared" si="7"/>
        <v/>
      </c>
    </row>
    <row r="124" spans="2:15" x14ac:dyDescent="0.25">
      <c r="B124" s="35" t="str">
        <f>IF(Control!$O127="","",INDEX(MemberOrg_Data[CFDA], Control!$O127))</f>
        <v/>
      </c>
      <c r="C124" s="35" t="str">
        <f t="array" ref="C124">IFERROR(INDEX(MemberOrg_Data[FEDERALPROGRAMNAME], MATCH(1, (SelectMemberOrg = MemberOrg_Data[Auditee Name])*(B124 = MemberOrg_Data[CFDA]), 0)), "")</f>
        <v/>
      </c>
      <c r="D124" s="36" t="str">
        <f>IFERROR(IF(B124 &lt;&gt; "", SUMIFS(MemberOrg_Data[Total Amount], MemberOrg_Data[Auditee Name], SelectMemberOrg, MemberOrg_Data[CFDA], B124), ""), "")</f>
        <v/>
      </c>
      <c r="E124" s="37" t="str">
        <f>IFERROR(INDEX(BudgetApprop_Data[President: % Change from 2019], MATCH(B124, BudgetApprop_Data[CFDA], 0)), "")</f>
        <v/>
      </c>
      <c r="F124" s="36" t="str">
        <f t="shared" si="4"/>
        <v/>
      </c>
      <c r="G124" s="46" t="str">
        <f>IFERROR(INDEX(BudgetApprop_Data[House: % Change from 2019], MATCH(FPWA_HelperTable[[#This Row],[CFDA]], BudgetApprop_Data[CFDA], 0)), "")</f>
        <v/>
      </c>
      <c r="H124" s="36" t="str">
        <f t="shared" si="5"/>
        <v/>
      </c>
      <c r="I124" s="35" t="str">
        <f>IF(B124 = "", "", IF(FPWA_HelperTable[[#This Row],[President $ Change]]&lt;&gt;"", RANK(F124, $F$6:$F$262)+COUNTIF($F$6:F124, F124)-1, 0))</f>
        <v/>
      </c>
      <c r="J124" s="35" t="str">
        <f>IFERROR((IF(I124= 0, COUNTIF($I$6:I124, 0), "")+MAX($I$6:$I$262)), "")</f>
        <v/>
      </c>
      <c r="K124" s="35" t="str">
        <f t="shared" si="6"/>
        <v/>
      </c>
      <c r="N124" s="34">
        <v>119</v>
      </c>
      <c r="O124" s="33" t="str">
        <f t="shared" si="7"/>
        <v/>
      </c>
    </row>
    <row r="125" spans="2:15" x14ac:dyDescent="0.25">
      <c r="B125" s="35" t="str">
        <f>IF(Control!$O128="","",INDEX(MemberOrg_Data[CFDA], Control!$O128))</f>
        <v/>
      </c>
      <c r="C125" s="35" t="str">
        <f t="array" ref="C125">IFERROR(INDEX(MemberOrg_Data[FEDERALPROGRAMNAME], MATCH(1, (SelectMemberOrg = MemberOrg_Data[Auditee Name])*(B125 = MemberOrg_Data[CFDA]), 0)), "")</f>
        <v/>
      </c>
      <c r="D125" s="36" t="str">
        <f>IFERROR(IF(B125 &lt;&gt; "", SUMIFS(MemberOrg_Data[Total Amount], MemberOrg_Data[Auditee Name], SelectMemberOrg, MemberOrg_Data[CFDA], B125), ""), "")</f>
        <v/>
      </c>
      <c r="E125" s="37" t="str">
        <f>IFERROR(INDEX(BudgetApprop_Data[President: % Change from 2019], MATCH(B125, BudgetApprop_Data[CFDA], 0)), "")</f>
        <v/>
      </c>
      <c r="F125" s="36" t="str">
        <f t="shared" si="4"/>
        <v/>
      </c>
      <c r="G125" s="46" t="str">
        <f>IFERROR(INDEX(BudgetApprop_Data[House: % Change from 2019], MATCH(FPWA_HelperTable[[#This Row],[CFDA]], BudgetApprop_Data[CFDA], 0)), "")</f>
        <v/>
      </c>
      <c r="H125" s="36" t="str">
        <f t="shared" si="5"/>
        <v/>
      </c>
      <c r="I125" s="35" t="str">
        <f>IF(B125 = "", "", IF(FPWA_HelperTable[[#This Row],[President $ Change]]&lt;&gt;"", RANK(F125, $F$6:$F$262)+COUNTIF($F$6:F125, F125)-1, 0))</f>
        <v/>
      </c>
      <c r="J125" s="35" t="str">
        <f>IFERROR((IF(I125= 0, COUNTIF($I$6:I125, 0), "")+MAX($I$6:$I$262)), "")</f>
        <v/>
      </c>
      <c r="K125" s="35" t="str">
        <f t="shared" si="6"/>
        <v/>
      </c>
      <c r="N125" s="34">
        <v>120</v>
      </c>
      <c r="O125" s="33" t="str">
        <f t="shared" si="7"/>
        <v/>
      </c>
    </row>
    <row r="126" spans="2:15" x14ac:dyDescent="0.25">
      <c r="B126" s="35" t="str">
        <f>IF(Control!$O129="","",INDEX(MemberOrg_Data[CFDA], Control!$O129))</f>
        <v/>
      </c>
      <c r="C126" s="35" t="str">
        <f t="array" ref="C126">IFERROR(INDEX(MemberOrg_Data[FEDERALPROGRAMNAME], MATCH(1, (SelectMemberOrg = MemberOrg_Data[Auditee Name])*(B126 = MemberOrg_Data[CFDA]), 0)), "")</f>
        <v/>
      </c>
      <c r="D126" s="36" t="str">
        <f>IFERROR(IF(B126 &lt;&gt; "", SUMIFS(MemberOrg_Data[Total Amount], MemberOrg_Data[Auditee Name], SelectMemberOrg, MemberOrg_Data[CFDA], B126), ""), "")</f>
        <v/>
      </c>
      <c r="E126" s="37" t="str">
        <f>IFERROR(INDEX(BudgetApprop_Data[President: % Change from 2019], MATCH(B126, BudgetApprop_Data[CFDA], 0)), "")</f>
        <v/>
      </c>
      <c r="F126" s="36" t="str">
        <f t="shared" si="4"/>
        <v/>
      </c>
      <c r="G126" s="46" t="str">
        <f>IFERROR(INDEX(BudgetApprop_Data[House: % Change from 2019], MATCH(FPWA_HelperTable[[#This Row],[CFDA]], BudgetApprop_Data[CFDA], 0)), "")</f>
        <v/>
      </c>
      <c r="H126" s="36" t="str">
        <f t="shared" si="5"/>
        <v/>
      </c>
      <c r="I126" s="35" t="str">
        <f>IF(B126 = "", "", IF(FPWA_HelperTable[[#This Row],[President $ Change]]&lt;&gt;"", RANK(F126, $F$6:$F$262)+COUNTIF($F$6:F126, F126)-1, 0))</f>
        <v/>
      </c>
      <c r="J126" s="35" t="str">
        <f>IFERROR((IF(I126= 0, COUNTIF($I$6:I126, 0), "")+MAX($I$6:$I$262)), "")</f>
        <v/>
      </c>
      <c r="K126" s="35" t="str">
        <f t="shared" si="6"/>
        <v/>
      </c>
      <c r="N126" s="34">
        <v>121</v>
      </c>
      <c r="O126" s="33" t="str">
        <f t="shared" si="7"/>
        <v/>
      </c>
    </row>
    <row r="127" spans="2:15" x14ac:dyDescent="0.25">
      <c r="B127" s="35" t="str">
        <f>IF(Control!$O130="","",INDEX(MemberOrg_Data[CFDA], Control!$O130))</f>
        <v/>
      </c>
      <c r="C127" s="35" t="str">
        <f t="array" ref="C127">IFERROR(INDEX(MemberOrg_Data[FEDERALPROGRAMNAME], MATCH(1, (SelectMemberOrg = MemberOrg_Data[Auditee Name])*(B127 = MemberOrg_Data[CFDA]), 0)), "")</f>
        <v/>
      </c>
      <c r="D127" s="36" t="str">
        <f>IFERROR(IF(B127 &lt;&gt; "", SUMIFS(MemberOrg_Data[Total Amount], MemberOrg_Data[Auditee Name], SelectMemberOrg, MemberOrg_Data[CFDA], B127), ""), "")</f>
        <v/>
      </c>
      <c r="E127" s="37" t="str">
        <f>IFERROR(INDEX(BudgetApprop_Data[President: % Change from 2019], MATCH(B127, BudgetApprop_Data[CFDA], 0)), "")</f>
        <v/>
      </c>
      <c r="F127" s="36" t="str">
        <f t="shared" si="4"/>
        <v/>
      </c>
      <c r="G127" s="46" t="str">
        <f>IFERROR(INDEX(BudgetApprop_Data[House: % Change from 2019], MATCH(FPWA_HelperTable[[#This Row],[CFDA]], BudgetApprop_Data[CFDA], 0)), "")</f>
        <v/>
      </c>
      <c r="H127" s="36" t="str">
        <f t="shared" si="5"/>
        <v/>
      </c>
      <c r="I127" s="35" t="str">
        <f>IF(B127 = "", "", IF(FPWA_HelperTable[[#This Row],[President $ Change]]&lt;&gt;"", RANK(F127, $F$6:$F$262)+COUNTIF($F$6:F127, F127)-1, 0))</f>
        <v/>
      </c>
      <c r="J127" s="35" t="str">
        <f>IFERROR((IF(I127= 0, COUNTIF($I$6:I127, 0), "")+MAX($I$6:$I$262)), "")</f>
        <v/>
      </c>
      <c r="K127" s="35" t="str">
        <f t="shared" si="6"/>
        <v/>
      </c>
      <c r="N127" s="34">
        <v>122</v>
      </c>
      <c r="O127" s="33" t="str">
        <f t="shared" si="7"/>
        <v/>
      </c>
    </row>
    <row r="128" spans="2:15" x14ac:dyDescent="0.25">
      <c r="B128" s="35" t="str">
        <f>IF(Control!$O131="","",INDEX(MemberOrg_Data[CFDA], Control!$O131))</f>
        <v/>
      </c>
      <c r="C128" s="35" t="str">
        <f t="array" ref="C128">IFERROR(INDEX(MemberOrg_Data[FEDERALPROGRAMNAME], MATCH(1, (SelectMemberOrg = MemberOrg_Data[Auditee Name])*(B128 = MemberOrg_Data[CFDA]), 0)), "")</f>
        <v/>
      </c>
      <c r="D128" s="36" t="str">
        <f>IFERROR(IF(B128 &lt;&gt; "", SUMIFS(MemberOrg_Data[Total Amount], MemberOrg_Data[Auditee Name], SelectMemberOrg, MemberOrg_Data[CFDA], B128), ""), "")</f>
        <v/>
      </c>
      <c r="E128" s="37" t="str">
        <f>IFERROR(INDEX(BudgetApprop_Data[President: % Change from 2019], MATCH(B128, BudgetApprop_Data[CFDA], 0)), "")</f>
        <v/>
      </c>
      <c r="F128" s="36" t="str">
        <f t="shared" si="4"/>
        <v/>
      </c>
      <c r="G128" s="46" t="str">
        <f>IFERROR(INDEX(BudgetApprop_Data[House: % Change from 2019], MATCH(FPWA_HelperTable[[#This Row],[CFDA]], BudgetApprop_Data[CFDA], 0)), "")</f>
        <v/>
      </c>
      <c r="H128" s="36" t="str">
        <f t="shared" si="5"/>
        <v/>
      </c>
      <c r="I128" s="35" t="str">
        <f>IF(B128 = "", "", IF(FPWA_HelperTable[[#This Row],[President $ Change]]&lt;&gt;"", RANK(F128, $F$6:$F$262)+COUNTIF($F$6:F128, F128)-1, 0))</f>
        <v/>
      </c>
      <c r="J128" s="35" t="str">
        <f>IFERROR((IF(I128= 0, COUNTIF($I$6:I128, 0), "")+MAX($I$6:$I$262)), "")</f>
        <v/>
      </c>
      <c r="K128" s="35" t="str">
        <f t="shared" si="6"/>
        <v/>
      </c>
      <c r="N128" s="34">
        <v>123</v>
      </c>
      <c r="O128" s="33" t="str">
        <f t="shared" si="7"/>
        <v/>
      </c>
    </row>
    <row r="129" spans="2:15" x14ac:dyDescent="0.25">
      <c r="B129" s="35" t="str">
        <f>IF(Control!$O132="","",INDEX(MemberOrg_Data[CFDA], Control!$O132))</f>
        <v/>
      </c>
      <c r="C129" s="35" t="str">
        <f t="array" ref="C129">IFERROR(INDEX(MemberOrg_Data[FEDERALPROGRAMNAME], MATCH(1, (SelectMemberOrg = MemberOrg_Data[Auditee Name])*(B129 = MemberOrg_Data[CFDA]), 0)), "")</f>
        <v/>
      </c>
      <c r="D129" s="36" t="str">
        <f>IFERROR(IF(B129 &lt;&gt; "", SUMIFS(MemberOrg_Data[Total Amount], MemberOrg_Data[Auditee Name], SelectMemberOrg, MemberOrg_Data[CFDA], B129), ""), "")</f>
        <v/>
      </c>
      <c r="E129" s="37" t="str">
        <f>IFERROR(INDEX(BudgetApprop_Data[President: % Change from 2019], MATCH(B129, BudgetApprop_Data[CFDA], 0)), "")</f>
        <v/>
      </c>
      <c r="F129" s="36" t="str">
        <f t="shared" si="4"/>
        <v/>
      </c>
      <c r="G129" s="46" t="str">
        <f>IFERROR(INDEX(BudgetApprop_Data[House: % Change from 2019], MATCH(FPWA_HelperTable[[#This Row],[CFDA]], BudgetApprop_Data[CFDA], 0)), "")</f>
        <v/>
      </c>
      <c r="H129" s="36" t="str">
        <f t="shared" si="5"/>
        <v/>
      </c>
      <c r="I129" s="35" t="str">
        <f>IF(B129 = "", "", IF(FPWA_HelperTable[[#This Row],[President $ Change]]&lt;&gt;"", RANK(F129, $F$6:$F$262)+COUNTIF($F$6:F129, F129)-1, 0))</f>
        <v/>
      </c>
      <c r="J129" s="35" t="str">
        <f>IFERROR((IF(I129= 0, COUNTIF($I$6:I129, 0), "")+MAX($I$6:$I$262)), "")</f>
        <v/>
      </c>
      <c r="K129" s="35" t="str">
        <f t="shared" si="6"/>
        <v/>
      </c>
      <c r="N129" s="34">
        <v>124</v>
      </c>
      <c r="O129" s="33" t="str">
        <f t="shared" si="7"/>
        <v/>
      </c>
    </row>
    <row r="130" spans="2:15" x14ac:dyDescent="0.25">
      <c r="B130" s="35" t="str">
        <f>IF(Control!$O133="","",INDEX(MemberOrg_Data[CFDA], Control!$O133))</f>
        <v/>
      </c>
      <c r="C130" s="35" t="str">
        <f t="array" ref="C130">IFERROR(INDEX(MemberOrg_Data[FEDERALPROGRAMNAME], MATCH(1, (SelectMemberOrg = MemberOrg_Data[Auditee Name])*(B130 = MemberOrg_Data[CFDA]), 0)), "")</f>
        <v/>
      </c>
      <c r="D130" s="36" t="str">
        <f>IFERROR(IF(B130 &lt;&gt; "", SUMIFS(MemberOrg_Data[Total Amount], MemberOrg_Data[Auditee Name], SelectMemberOrg, MemberOrg_Data[CFDA], B130), ""), "")</f>
        <v/>
      </c>
      <c r="E130" s="37" t="str">
        <f>IFERROR(INDEX(BudgetApprop_Data[President: % Change from 2019], MATCH(B130, BudgetApprop_Data[CFDA], 0)), "")</f>
        <v/>
      </c>
      <c r="F130" s="36" t="str">
        <f t="shared" si="4"/>
        <v/>
      </c>
      <c r="G130" s="46" t="str">
        <f>IFERROR(INDEX(BudgetApprop_Data[House: % Change from 2019], MATCH(FPWA_HelperTable[[#This Row],[CFDA]], BudgetApprop_Data[CFDA], 0)), "")</f>
        <v/>
      </c>
      <c r="H130" s="36" t="str">
        <f t="shared" si="5"/>
        <v/>
      </c>
      <c r="I130" s="35" t="str">
        <f>IF(B130 = "", "", IF(FPWA_HelperTable[[#This Row],[President $ Change]]&lt;&gt;"", RANK(F130, $F$6:$F$262)+COUNTIF($F$6:F130, F130)-1, 0))</f>
        <v/>
      </c>
      <c r="J130" s="35" t="str">
        <f>IFERROR((IF(I130= 0, COUNTIF($I$6:I130, 0), "")+MAX($I$6:$I$262)), "")</f>
        <v/>
      </c>
      <c r="K130" s="35" t="str">
        <f t="shared" si="6"/>
        <v/>
      </c>
      <c r="N130" s="34">
        <v>125</v>
      </c>
      <c r="O130" s="33" t="str">
        <f t="shared" si="7"/>
        <v/>
      </c>
    </row>
    <row r="131" spans="2:15" x14ac:dyDescent="0.25">
      <c r="B131" s="35" t="str">
        <f>IF(Control!$O134="","",INDEX(MemberOrg_Data[CFDA], Control!$O134))</f>
        <v/>
      </c>
      <c r="C131" s="35" t="str">
        <f t="array" ref="C131">IFERROR(INDEX(MemberOrg_Data[FEDERALPROGRAMNAME], MATCH(1, (SelectMemberOrg = MemberOrg_Data[Auditee Name])*(B131 = MemberOrg_Data[CFDA]), 0)), "")</f>
        <v/>
      </c>
      <c r="D131" s="36" t="str">
        <f>IFERROR(IF(B131 &lt;&gt; "", SUMIFS(MemberOrg_Data[Total Amount], MemberOrg_Data[Auditee Name], SelectMemberOrg, MemberOrg_Data[CFDA], B131), ""), "")</f>
        <v/>
      </c>
      <c r="E131" s="37" t="str">
        <f>IFERROR(INDEX(BudgetApprop_Data[President: % Change from 2019], MATCH(B131, BudgetApprop_Data[CFDA], 0)), "")</f>
        <v/>
      </c>
      <c r="F131" s="36" t="str">
        <f t="shared" si="4"/>
        <v/>
      </c>
      <c r="G131" s="46" t="str">
        <f>IFERROR(INDEX(BudgetApprop_Data[House: % Change from 2019], MATCH(FPWA_HelperTable[[#This Row],[CFDA]], BudgetApprop_Data[CFDA], 0)), "")</f>
        <v/>
      </c>
      <c r="H131" s="36" t="str">
        <f t="shared" si="5"/>
        <v/>
      </c>
      <c r="I131" s="35" t="str">
        <f>IF(B131 = "", "", IF(FPWA_HelperTable[[#This Row],[President $ Change]]&lt;&gt;"", RANK(F131, $F$6:$F$262)+COUNTIF($F$6:F131, F131)-1, 0))</f>
        <v/>
      </c>
      <c r="J131" s="35" t="str">
        <f>IFERROR((IF(I131= 0, COUNTIF($I$6:I131, 0), "")+MAX($I$6:$I$262)), "")</f>
        <v/>
      </c>
      <c r="K131" s="35" t="str">
        <f t="shared" si="6"/>
        <v/>
      </c>
      <c r="N131" s="34">
        <v>126</v>
      </c>
      <c r="O131" s="33" t="str">
        <f t="shared" si="7"/>
        <v/>
      </c>
    </row>
    <row r="132" spans="2:15" x14ac:dyDescent="0.25">
      <c r="B132" s="35" t="str">
        <f>IF(Control!$O135="","",INDEX(MemberOrg_Data[CFDA], Control!$O135))</f>
        <v/>
      </c>
      <c r="C132" s="35" t="str">
        <f t="array" ref="C132">IFERROR(INDEX(MemberOrg_Data[FEDERALPROGRAMNAME], MATCH(1, (SelectMemberOrg = MemberOrg_Data[Auditee Name])*(B132 = MemberOrg_Data[CFDA]), 0)), "")</f>
        <v/>
      </c>
      <c r="D132" s="36" t="str">
        <f>IFERROR(IF(B132 &lt;&gt; "", SUMIFS(MemberOrg_Data[Total Amount], MemberOrg_Data[Auditee Name], SelectMemberOrg, MemberOrg_Data[CFDA], B132), ""), "")</f>
        <v/>
      </c>
      <c r="E132" s="37" t="str">
        <f>IFERROR(INDEX(BudgetApprop_Data[President: % Change from 2019], MATCH(B132, BudgetApprop_Data[CFDA], 0)), "")</f>
        <v/>
      </c>
      <c r="F132" s="36" t="str">
        <f t="shared" si="4"/>
        <v/>
      </c>
      <c r="G132" s="46" t="str">
        <f>IFERROR(INDEX(BudgetApprop_Data[House: % Change from 2019], MATCH(FPWA_HelperTable[[#This Row],[CFDA]], BudgetApprop_Data[CFDA], 0)), "")</f>
        <v/>
      </c>
      <c r="H132" s="36" t="str">
        <f t="shared" si="5"/>
        <v/>
      </c>
      <c r="I132" s="35" t="str">
        <f>IF(B132 = "", "", IF(FPWA_HelperTable[[#This Row],[President $ Change]]&lt;&gt;"", RANK(F132, $F$6:$F$262)+COUNTIF($F$6:F132, F132)-1, 0))</f>
        <v/>
      </c>
      <c r="J132" s="35" t="str">
        <f>IFERROR((IF(I132= 0, COUNTIF($I$6:I132, 0), "")+MAX($I$6:$I$262)), "")</f>
        <v/>
      </c>
      <c r="K132" s="35" t="str">
        <f t="shared" si="6"/>
        <v/>
      </c>
      <c r="N132" s="34">
        <v>127</v>
      </c>
      <c r="O132" s="33" t="str">
        <f t="shared" si="7"/>
        <v/>
      </c>
    </row>
    <row r="133" spans="2:15" x14ac:dyDescent="0.25">
      <c r="B133" s="35" t="str">
        <f>IF(Control!$O136="","",INDEX(MemberOrg_Data[CFDA], Control!$O136))</f>
        <v/>
      </c>
      <c r="C133" s="35" t="str">
        <f t="array" ref="C133">IFERROR(INDEX(MemberOrg_Data[FEDERALPROGRAMNAME], MATCH(1, (SelectMemberOrg = MemberOrg_Data[Auditee Name])*(B133 = MemberOrg_Data[CFDA]), 0)), "")</f>
        <v/>
      </c>
      <c r="D133" s="36" t="str">
        <f>IFERROR(IF(B133 &lt;&gt; "", SUMIFS(MemberOrg_Data[Total Amount], MemberOrg_Data[Auditee Name], SelectMemberOrg, MemberOrg_Data[CFDA], B133), ""), "")</f>
        <v/>
      </c>
      <c r="E133" s="37" t="str">
        <f>IFERROR(INDEX(BudgetApprop_Data[President: % Change from 2019], MATCH(B133, BudgetApprop_Data[CFDA], 0)), "")</f>
        <v/>
      </c>
      <c r="F133" s="36" t="str">
        <f t="shared" si="4"/>
        <v/>
      </c>
      <c r="G133" s="46" t="str">
        <f>IFERROR(INDEX(BudgetApprop_Data[House: % Change from 2019], MATCH(FPWA_HelperTable[[#This Row],[CFDA]], BudgetApprop_Data[CFDA], 0)), "")</f>
        <v/>
      </c>
      <c r="H133" s="36" t="str">
        <f t="shared" si="5"/>
        <v/>
      </c>
      <c r="I133" s="35" t="str">
        <f>IF(B133 = "", "", IF(FPWA_HelperTable[[#This Row],[President $ Change]]&lt;&gt;"", RANK(F133, $F$6:$F$262)+COUNTIF($F$6:F133, F133)-1, 0))</f>
        <v/>
      </c>
      <c r="J133" s="35" t="str">
        <f>IFERROR((IF(I133= 0, COUNTIF($I$6:I133, 0), "")+MAX($I$6:$I$262)), "")</f>
        <v/>
      </c>
      <c r="K133" s="35" t="str">
        <f t="shared" si="6"/>
        <v/>
      </c>
      <c r="N133" s="34">
        <v>128</v>
      </c>
      <c r="O133" s="33" t="str">
        <f t="shared" si="7"/>
        <v/>
      </c>
    </row>
    <row r="134" spans="2:15" x14ac:dyDescent="0.25">
      <c r="B134" s="35" t="str">
        <f>IF(Control!$O137="","",INDEX(MemberOrg_Data[CFDA], Control!$O137))</f>
        <v/>
      </c>
      <c r="C134" s="35" t="str">
        <f t="array" ref="C134">IFERROR(INDEX(MemberOrg_Data[FEDERALPROGRAMNAME], MATCH(1, (SelectMemberOrg = MemberOrg_Data[Auditee Name])*(B134 = MemberOrg_Data[CFDA]), 0)), "")</f>
        <v/>
      </c>
      <c r="D134" s="36" t="str">
        <f>IFERROR(IF(B134 &lt;&gt; "", SUMIFS(MemberOrg_Data[Total Amount], MemberOrg_Data[Auditee Name], SelectMemberOrg, MemberOrg_Data[CFDA], B134), ""), "")</f>
        <v/>
      </c>
      <c r="E134" s="37" t="str">
        <f>IFERROR(INDEX(BudgetApprop_Data[President: % Change from 2019], MATCH(B134, BudgetApprop_Data[CFDA], 0)), "")</f>
        <v/>
      </c>
      <c r="F134" s="36" t="str">
        <f t="shared" ref="F134:F197" si="8">IFERROR(IF(B134&lt;&gt;"", D134*E134, ""), "" )</f>
        <v/>
      </c>
      <c r="G134" s="46" t="str">
        <f>IFERROR(INDEX(BudgetApprop_Data[House: % Change from 2019], MATCH(FPWA_HelperTable[[#This Row],[CFDA]], BudgetApprop_Data[CFDA], 0)), "")</f>
        <v/>
      </c>
      <c r="H134" s="36" t="str">
        <f t="shared" si="5"/>
        <v/>
      </c>
      <c r="I134" s="35" t="str">
        <f>IF(B134 = "", "", IF(FPWA_HelperTable[[#This Row],[President $ Change]]&lt;&gt;"", RANK(F134, $F$6:$F$262)+COUNTIF($F$6:F134, F134)-1, 0))</f>
        <v/>
      </c>
      <c r="J134" s="35" t="str">
        <f>IFERROR((IF(I134= 0, COUNTIF($I$6:I134, 0), "")+MAX($I$6:$I$262)), "")</f>
        <v/>
      </c>
      <c r="K134" s="35" t="str">
        <f t="shared" si="6"/>
        <v/>
      </c>
      <c r="N134" s="34">
        <v>129</v>
      </c>
      <c r="O134" s="33" t="str">
        <f t="shared" si="7"/>
        <v/>
      </c>
    </row>
    <row r="135" spans="2:15" x14ac:dyDescent="0.25">
      <c r="B135" s="35" t="str">
        <f>IF(Control!$O138="","",INDEX(MemberOrg_Data[CFDA], Control!$O138))</f>
        <v/>
      </c>
      <c r="C135" s="35" t="str">
        <f t="array" ref="C135">IFERROR(INDEX(MemberOrg_Data[FEDERALPROGRAMNAME], MATCH(1, (SelectMemberOrg = MemberOrg_Data[Auditee Name])*(B135 = MemberOrg_Data[CFDA]), 0)), "")</f>
        <v/>
      </c>
      <c r="D135" s="36" t="str">
        <f>IFERROR(IF(B135 &lt;&gt; "", SUMIFS(MemberOrg_Data[Total Amount], MemberOrg_Data[Auditee Name], SelectMemberOrg, MemberOrg_Data[CFDA], B135), ""), "")</f>
        <v/>
      </c>
      <c r="E135" s="37" t="str">
        <f>IFERROR(INDEX(BudgetApprop_Data[President: % Change from 2019], MATCH(B135, BudgetApprop_Data[CFDA], 0)), "")</f>
        <v/>
      </c>
      <c r="F135" s="36" t="str">
        <f t="shared" si="8"/>
        <v/>
      </c>
      <c r="G135" s="46" t="str">
        <f>IFERROR(INDEX(BudgetApprop_Data[House: % Change from 2019], MATCH(FPWA_HelperTable[[#This Row],[CFDA]], BudgetApprop_Data[CFDA], 0)), "")</f>
        <v/>
      </c>
      <c r="H135" s="36" t="str">
        <f t="shared" ref="H135:H198" si="9">IFERROR(IF(B135&lt;&gt; "", D135*G135, ""), "")</f>
        <v/>
      </c>
      <c r="I135" s="35" t="str">
        <f>IF(B135 = "", "", IF(FPWA_HelperTable[[#This Row],[President $ Change]]&lt;&gt;"", RANK(F135, $F$6:$F$262)+COUNTIF($F$6:F135, F135)-1, 0))</f>
        <v/>
      </c>
      <c r="J135" s="35" t="str">
        <f>IFERROR((IF(I135= 0, COUNTIF($I$6:I135, 0), "")+MAX($I$6:$I$262)), "")</f>
        <v/>
      </c>
      <c r="K135" s="35" t="str">
        <f t="shared" ref="K135:K198" si="10">IF(B135&lt;&gt; "", SUM(I135, J135), "")</f>
        <v/>
      </c>
      <c r="N135" s="34">
        <v>130</v>
      </c>
      <c r="O135" s="33" t="str">
        <f t="shared" ref="O135:O198" si="11">IFERROR(INDEX($B$6:$B$262, MATCH(N135, $K$6:$K$262, 0)), "")</f>
        <v/>
      </c>
    </row>
    <row r="136" spans="2:15" x14ac:dyDescent="0.25">
      <c r="B136" s="35" t="str">
        <f>IF(Control!$O139="","",INDEX(MemberOrg_Data[CFDA], Control!$O139))</f>
        <v/>
      </c>
      <c r="C136" s="35" t="str">
        <f t="array" ref="C136">IFERROR(INDEX(MemberOrg_Data[FEDERALPROGRAMNAME], MATCH(1, (SelectMemberOrg = MemberOrg_Data[Auditee Name])*(B136 = MemberOrg_Data[CFDA]), 0)), "")</f>
        <v/>
      </c>
      <c r="D136" s="36" t="str">
        <f>IFERROR(IF(B136 &lt;&gt; "", SUMIFS(MemberOrg_Data[Total Amount], MemberOrg_Data[Auditee Name], SelectMemberOrg, MemberOrg_Data[CFDA], B136), ""), "")</f>
        <v/>
      </c>
      <c r="E136" s="37" t="str">
        <f>IFERROR(INDEX(BudgetApprop_Data[President: % Change from 2019], MATCH(B136, BudgetApprop_Data[CFDA], 0)), "")</f>
        <v/>
      </c>
      <c r="F136" s="36" t="str">
        <f t="shared" si="8"/>
        <v/>
      </c>
      <c r="G136" s="46" t="str">
        <f>IFERROR(INDEX(BudgetApprop_Data[House: % Change from 2019], MATCH(FPWA_HelperTable[[#This Row],[CFDA]], BudgetApprop_Data[CFDA], 0)), "")</f>
        <v/>
      </c>
      <c r="H136" s="36" t="str">
        <f t="shared" si="9"/>
        <v/>
      </c>
      <c r="I136" s="35" t="str">
        <f>IF(B136 = "", "", IF(FPWA_HelperTable[[#This Row],[President $ Change]]&lt;&gt;"", RANK(F136, $F$6:$F$262)+COUNTIF($F$6:F136, F136)-1, 0))</f>
        <v/>
      </c>
      <c r="J136" s="35" t="str">
        <f>IFERROR((IF(I136= 0, COUNTIF($I$6:I136, 0), "")+MAX($I$6:$I$262)), "")</f>
        <v/>
      </c>
      <c r="K136" s="35" t="str">
        <f t="shared" si="10"/>
        <v/>
      </c>
      <c r="N136" s="34">
        <v>131</v>
      </c>
      <c r="O136" s="33" t="str">
        <f t="shared" si="11"/>
        <v/>
      </c>
    </row>
    <row r="137" spans="2:15" x14ac:dyDescent="0.25">
      <c r="B137" s="35" t="str">
        <f>IF(Control!$O140="","",INDEX(MemberOrg_Data[CFDA], Control!$O140))</f>
        <v/>
      </c>
      <c r="C137" s="35" t="str">
        <f t="array" ref="C137">IFERROR(INDEX(MemberOrg_Data[FEDERALPROGRAMNAME], MATCH(1, (SelectMemberOrg = MemberOrg_Data[Auditee Name])*(B137 = MemberOrg_Data[CFDA]), 0)), "")</f>
        <v/>
      </c>
      <c r="D137" s="36" t="str">
        <f>IFERROR(IF(B137 &lt;&gt; "", SUMIFS(MemberOrg_Data[Total Amount], MemberOrg_Data[Auditee Name], SelectMemberOrg, MemberOrg_Data[CFDA], B137), ""), "")</f>
        <v/>
      </c>
      <c r="E137" s="37" t="str">
        <f>IFERROR(INDEX(BudgetApprop_Data[President: % Change from 2019], MATCH(B137, BudgetApprop_Data[CFDA], 0)), "")</f>
        <v/>
      </c>
      <c r="F137" s="36" t="str">
        <f t="shared" si="8"/>
        <v/>
      </c>
      <c r="G137" s="46" t="str">
        <f>IFERROR(INDEX(BudgetApprop_Data[House: % Change from 2019], MATCH(FPWA_HelperTable[[#This Row],[CFDA]], BudgetApprop_Data[CFDA], 0)), "")</f>
        <v/>
      </c>
      <c r="H137" s="36" t="str">
        <f t="shared" si="9"/>
        <v/>
      </c>
      <c r="I137" s="35" t="str">
        <f>IF(B137 = "", "", IF(FPWA_HelperTable[[#This Row],[President $ Change]]&lt;&gt;"", RANK(F137, $F$6:$F$262)+COUNTIF($F$6:F137, F137)-1, 0))</f>
        <v/>
      </c>
      <c r="J137" s="35" t="str">
        <f>IFERROR((IF(I137= 0, COUNTIF($I$6:I137, 0), "")+MAX($I$6:$I$262)), "")</f>
        <v/>
      </c>
      <c r="K137" s="35" t="str">
        <f t="shared" si="10"/>
        <v/>
      </c>
      <c r="N137" s="34">
        <v>132</v>
      </c>
      <c r="O137" s="33" t="str">
        <f t="shared" si="11"/>
        <v/>
      </c>
    </row>
    <row r="138" spans="2:15" x14ac:dyDescent="0.25">
      <c r="B138" s="35" t="str">
        <f>IF(Control!$O141="","",INDEX(MemberOrg_Data[CFDA], Control!$O141))</f>
        <v/>
      </c>
      <c r="C138" s="35" t="str">
        <f t="array" ref="C138">IFERROR(INDEX(MemberOrg_Data[FEDERALPROGRAMNAME], MATCH(1, (SelectMemberOrg = MemberOrg_Data[Auditee Name])*(B138 = MemberOrg_Data[CFDA]), 0)), "")</f>
        <v/>
      </c>
      <c r="D138" s="36" t="str">
        <f>IFERROR(IF(B138 &lt;&gt; "", SUMIFS(MemberOrg_Data[Total Amount], MemberOrg_Data[Auditee Name], SelectMemberOrg, MemberOrg_Data[CFDA], B138), ""), "")</f>
        <v/>
      </c>
      <c r="E138" s="37" t="str">
        <f>IFERROR(INDEX(BudgetApprop_Data[President: % Change from 2019], MATCH(B138, BudgetApprop_Data[CFDA], 0)), "")</f>
        <v/>
      </c>
      <c r="F138" s="36" t="str">
        <f t="shared" si="8"/>
        <v/>
      </c>
      <c r="G138" s="46" t="str">
        <f>IFERROR(INDEX(BudgetApprop_Data[House: % Change from 2019], MATCH(FPWA_HelperTable[[#This Row],[CFDA]], BudgetApprop_Data[CFDA], 0)), "")</f>
        <v/>
      </c>
      <c r="H138" s="36" t="str">
        <f t="shared" si="9"/>
        <v/>
      </c>
      <c r="I138" s="35" t="str">
        <f>IF(B138 = "", "", IF(FPWA_HelperTable[[#This Row],[President $ Change]]&lt;&gt;"", RANK(F138, $F$6:$F$262)+COUNTIF($F$6:F138, F138)-1, 0))</f>
        <v/>
      </c>
      <c r="J138" s="35" t="str">
        <f>IFERROR((IF(I138= 0, COUNTIF($I$6:I138, 0), "")+MAX($I$6:$I$262)), "")</f>
        <v/>
      </c>
      <c r="K138" s="35" t="str">
        <f t="shared" si="10"/>
        <v/>
      </c>
      <c r="N138" s="34">
        <v>133</v>
      </c>
      <c r="O138" s="33" t="str">
        <f t="shared" si="11"/>
        <v/>
      </c>
    </row>
    <row r="139" spans="2:15" x14ac:dyDescent="0.25">
      <c r="B139" s="35" t="str">
        <f>IF(Control!$O142="","",INDEX(MemberOrg_Data[CFDA], Control!$O142))</f>
        <v/>
      </c>
      <c r="C139" s="35" t="str">
        <f t="array" ref="C139">IFERROR(INDEX(MemberOrg_Data[FEDERALPROGRAMNAME], MATCH(1, (SelectMemberOrg = MemberOrg_Data[Auditee Name])*(B139 = MemberOrg_Data[CFDA]), 0)), "")</f>
        <v/>
      </c>
      <c r="D139" s="36" t="str">
        <f>IFERROR(IF(B139 &lt;&gt; "", SUMIFS(MemberOrg_Data[Total Amount], MemberOrg_Data[Auditee Name], SelectMemberOrg, MemberOrg_Data[CFDA], B139), ""), "")</f>
        <v/>
      </c>
      <c r="E139" s="37" t="str">
        <f>IFERROR(INDEX(BudgetApprop_Data[President: % Change from 2019], MATCH(B139, BudgetApprop_Data[CFDA], 0)), "")</f>
        <v/>
      </c>
      <c r="F139" s="36" t="str">
        <f t="shared" si="8"/>
        <v/>
      </c>
      <c r="G139" s="46" t="str">
        <f>IFERROR(INDEX(BudgetApprop_Data[House: % Change from 2019], MATCH(FPWA_HelperTable[[#This Row],[CFDA]], BudgetApprop_Data[CFDA], 0)), "")</f>
        <v/>
      </c>
      <c r="H139" s="36" t="str">
        <f t="shared" si="9"/>
        <v/>
      </c>
      <c r="I139" s="35" t="str">
        <f>IF(B139 = "", "", IF(FPWA_HelperTable[[#This Row],[President $ Change]]&lt;&gt;"", RANK(F139, $F$6:$F$262)+COUNTIF($F$6:F139, F139)-1, 0))</f>
        <v/>
      </c>
      <c r="J139" s="35" t="str">
        <f>IFERROR((IF(I139= 0, COUNTIF($I$6:I139, 0), "")+MAX($I$6:$I$262)), "")</f>
        <v/>
      </c>
      <c r="K139" s="35" t="str">
        <f t="shared" si="10"/>
        <v/>
      </c>
      <c r="N139" s="34">
        <v>134</v>
      </c>
      <c r="O139" s="33" t="str">
        <f t="shared" si="11"/>
        <v/>
      </c>
    </row>
    <row r="140" spans="2:15" x14ac:dyDescent="0.25">
      <c r="B140" s="35" t="str">
        <f>IF(Control!$O143="","",INDEX(MemberOrg_Data[CFDA], Control!$O143))</f>
        <v/>
      </c>
      <c r="C140" s="35" t="str">
        <f t="array" ref="C140">IFERROR(INDEX(MemberOrg_Data[FEDERALPROGRAMNAME], MATCH(1, (SelectMemberOrg = MemberOrg_Data[Auditee Name])*(B140 = MemberOrg_Data[CFDA]), 0)), "")</f>
        <v/>
      </c>
      <c r="D140" s="36" t="str">
        <f>IFERROR(IF(B140 &lt;&gt; "", SUMIFS(MemberOrg_Data[Total Amount], MemberOrg_Data[Auditee Name], SelectMemberOrg, MemberOrg_Data[CFDA], B140), ""), "")</f>
        <v/>
      </c>
      <c r="E140" s="37" t="str">
        <f>IFERROR(INDEX(BudgetApprop_Data[President: % Change from 2019], MATCH(B140, BudgetApprop_Data[CFDA], 0)), "")</f>
        <v/>
      </c>
      <c r="F140" s="36" t="str">
        <f t="shared" si="8"/>
        <v/>
      </c>
      <c r="G140" s="46" t="str">
        <f>IFERROR(INDEX(BudgetApprop_Data[House: % Change from 2019], MATCH(FPWA_HelperTable[[#This Row],[CFDA]], BudgetApprop_Data[CFDA], 0)), "")</f>
        <v/>
      </c>
      <c r="H140" s="36" t="str">
        <f t="shared" si="9"/>
        <v/>
      </c>
      <c r="I140" s="35" t="str">
        <f>IF(B140 = "", "", IF(FPWA_HelperTable[[#This Row],[President $ Change]]&lt;&gt;"", RANK(F140, $F$6:$F$262)+COUNTIF($F$6:F140, F140)-1, 0))</f>
        <v/>
      </c>
      <c r="J140" s="35" t="str">
        <f>IFERROR((IF(I140= 0, COUNTIF($I$6:I140, 0), "")+MAX($I$6:$I$262)), "")</f>
        <v/>
      </c>
      <c r="K140" s="35" t="str">
        <f t="shared" si="10"/>
        <v/>
      </c>
      <c r="N140" s="34">
        <v>135</v>
      </c>
      <c r="O140" s="33" t="str">
        <f t="shared" si="11"/>
        <v/>
      </c>
    </row>
    <row r="141" spans="2:15" x14ac:dyDescent="0.25">
      <c r="B141" s="35" t="str">
        <f>IF(Control!$O144="","",INDEX(MemberOrg_Data[CFDA], Control!$O144))</f>
        <v/>
      </c>
      <c r="C141" s="35" t="str">
        <f t="array" ref="C141">IFERROR(INDEX(MemberOrg_Data[FEDERALPROGRAMNAME], MATCH(1, (SelectMemberOrg = MemberOrg_Data[Auditee Name])*(B141 = MemberOrg_Data[CFDA]), 0)), "")</f>
        <v/>
      </c>
      <c r="D141" s="36" t="str">
        <f>IFERROR(IF(B141 &lt;&gt; "", SUMIFS(MemberOrg_Data[Total Amount], MemberOrg_Data[Auditee Name], SelectMemberOrg, MemberOrg_Data[CFDA], B141), ""), "")</f>
        <v/>
      </c>
      <c r="E141" s="37" t="str">
        <f>IFERROR(INDEX(BudgetApprop_Data[President: % Change from 2019], MATCH(B141, BudgetApprop_Data[CFDA], 0)), "")</f>
        <v/>
      </c>
      <c r="F141" s="36" t="str">
        <f t="shared" si="8"/>
        <v/>
      </c>
      <c r="G141" s="46" t="str">
        <f>IFERROR(INDEX(BudgetApprop_Data[House: % Change from 2019], MATCH(FPWA_HelperTable[[#This Row],[CFDA]], BudgetApprop_Data[CFDA], 0)), "")</f>
        <v/>
      </c>
      <c r="H141" s="36" t="str">
        <f t="shared" si="9"/>
        <v/>
      </c>
      <c r="I141" s="35" t="str">
        <f>IF(B141 = "", "", IF(FPWA_HelperTable[[#This Row],[President $ Change]]&lt;&gt;"", RANK(F141, $F$6:$F$262)+COUNTIF($F$6:F141, F141)-1, 0))</f>
        <v/>
      </c>
      <c r="J141" s="35" t="str">
        <f>IFERROR((IF(I141= 0, COUNTIF($I$6:I141, 0), "")+MAX($I$6:$I$262)), "")</f>
        <v/>
      </c>
      <c r="K141" s="35" t="str">
        <f t="shared" si="10"/>
        <v/>
      </c>
      <c r="N141" s="34">
        <v>136</v>
      </c>
      <c r="O141" s="33" t="str">
        <f t="shared" si="11"/>
        <v/>
      </c>
    </row>
    <row r="142" spans="2:15" x14ac:dyDescent="0.25">
      <c r="B142" s="35" t="str">
        <f>IF(Control!$O145="","",INDEX(MemberOrg_Data[CFDA], Control!$O145))</f>
        <v/>
      </c>
      <c r="C142" s="35" t="str">
        <f t="array" ref="C142">IFERROR(INDEX(MemberOrg_Data[FEDERALPROGRAMNAME], MATCH(1, (SelectMemberOrg = MemberOrg_Data[Auditee Name])*(B142 = MemberOrg_Data[CFDA]), 0)), "")</f>
        <v/>
      </c>
      <c r="D142" s="36" t="str">
        <f>IFERROR(IF(B142 &lt;&gt; "", SUMIFS(MemberOrg_Data[Total Amount], MemberOrg_Data[Auditee Name], SelectMemberOrg, MemberOrg_Data[CFDA], B142), ""), "")</f>
        <v/>
      </c>
      <c r="E142" s="37" t="str">
        <f>IFERROR(INDEX(BudgetApprop_Data[President: % Change from 2019], MATCH(B142, BudgetApprop_Data[CFDA], 0)), "")</f>
        <v/>
      </c>
      <c r="F142" s="36" t="str">
        <f t="shared" si="8"/>
        <v/>
      </c>
      <c r="G142" s="46" t="str">
        <f>IFERROR(INDEX(BudgetApprop_Data[House: % Change from 2019], MATCH(FPWA_HelperTable[[#This Row],[CFDA]], BudgetApprop_Data[CFDA], 0)), "")</f>
        <v/>
      </c>
      <c r="H142" s="36" t="str">
        <f t="shared" si="9"/>
        <v/>
      </c>
      <c r="I142" s="35" t="str">
        <f>IF(B142 = "", "", IF(FPWA_HelperTable[[#This Row],[President $ Change]]&lt;&gt;"", RANK(F142, $F$6:$F$262)+COUNTIF($F$6:F142, F142)-1, 0))</f>
        <v/>
      </c>
      <c r="J142" s="35" t="str">
        <f>IFERROR((IF(I142= 0, COUNTIF($I$6:I142, 0), "")+MAX($I$6:$I$262)), "")</f>
        <v/>
      </c>
      <c r="K142" s="35" t="str">
        <f t="shared" si="10"/>
        <v/>
      </c>
      <c r="N142" s="34">
        <v>137</v>
      </c>
      <c r="O142" s="33" t="str">
        <f t="shared" si="11"/>
        <v/>
      </c>
    </row>
    <row r="143" spans="2:15" x14ac:dyDescent="0.25">
      <c r="B143" s="35" t="str">
        <f>IF(Control!$O146="","",INDEX(MemberOrg_Data[CFDA], Control!$O146))</f>
        <v/>
      </c>
      <c r="C143" s="35" t="str">
        <f t="array" ref="C143">IFERROR(INDEX(MemberOrg_Data[FEDERALPROGRAMNAME], MATCH(1, (SelectMemberOrg = MemberOrg_Data[Auditee Name])*(B143 = MemberOrg_Data[CFDA]), 0)), "")</f>
        <v/>
      </c>
      <c r="D143" s="36" t="str">
        <f>IFERROR(IF(B143 &lt;&gt; "", SUMIFS(MemberOrg_Data[Total Amount], MemberOrg_Data[Auditee Name], SelectMemberOrg, MemberOrg_Data[CFDA], B143), ""), "")</f>
        <v/>
      </c>
      <c r="E143" s="37" t="str">
        <f>IFERROR(INDEX(BudgetApprop_Data[President: % Change from 2019], MATCH(B143, BudgetApprop_Data[CFDA], 0)), "")</f>
        <v/>
      </c>
      <c r="F143" s="36" t="str">
        <f t="shared" si="8"/>
        <v/>
      </c>
      <c r="G143" s="46" t="str">
        <f>IFERROR(INDEX(BudgetApprop_Data[House: % Change from 2019], MATCH(FPWA_HelperTable[[#This Row],[CFDA]], BudgetApprop_Data[CFDA], 0)), "")</f>
        <v/>
      </c>
      <c r="H143" s="36" t="str">
        <f t="shared" si="9"/>
        <v/>
      </c>
      <c r="I143" s="35" t="str">
        <f>IF(B143 = "", "", IF(FPWA_HelperTable[[#This Row],[President $ Change]]&lt;&gt;"", RANK(F143, $F$6:$F$262)+COUNTIF($F$6:F143, F143)-1, 0))</f>
        <v/>
      </c>
      <c r="J143" s="35" t="str">
        <f>IFERROR((IF(I143= 0, COUNTIF($I$6:I143, 0), "")+MAX($I$6:$I$262)), "")</f>
        <v/>
      </c>
      <c r="K143" s="35" t="str">
        <f t="shared" si="10"/>
        <v/>
      </c>
      <c r="N143" s="34">
        <v>138</v>
      </c>
      <c r="O143" s="33" t="str">
        <f t="shared" si="11"/>
        <v/>
      </c>
    </row>
    <row r="144" spans="2:15" x14ac:dyDescent="0.25">
      <c r="B144" s="35" t="str">
        <f>IF(Control!$O147="","",INDEX(MemberOrg_Data[CFDA], Control!$O147))</f>
        <v/>
      </c>
      <c r="C144" s="35" t="str">
        <f t="array" ref="C144">IFERROR(INDEX(MemberOrg_Data[FEDERALPROGRAMNAME], MATCH(1, (SelectMemberOrg = MemberOrg_Data[Auditee Name])*(B144 = MemberOrg_Data[CFDA]), 0)), "")</f>
        <v/>
      </c>
      <c r="D144" s="36" t="str">
        <f>IFERROR(IF(B144 &lt;&gt; "", SUMIFS(MemberOrg_Data[Total Amount], MemberOrg_Data[Auditee Name], SelectMemberOrg, MemberOrg_Data[CFDA], B144), ""), "")</f>
        <v/>
      </c>
      <c r="E144" s="37" t="str">
        <f>IFERROR(INDEX(BudgetApprop_Data[President: % Change from 2019], MATCH(B144, BudgetApprop_Data[CFDA], 0)), "")</f>
        <v/>
      </c>
      <c r="F144" s="36" t="str">
        <f t="shared" si="8"/>
        <v/>
      </c>
      <c r="G144" s="46" t="str">
        <f>IFERROR(INDEX(BudgetApprop_Data[House: % Change from 2019], MATCH(FPWA_HelperTable[[#This Row],[CFDA]], BudgetApprop_Data[CFDA], 0)), "")</f>
        <v/>
      </c>
      <c r="H144" s="36" t="str">
        <f t="shared" si="9"/>
        <v/>
      </c>
      <c r="I144" s="35" t="str">
        <f>IF(B144 = "", "", IF(FPWA_HelperTable[[#This Row],[President $ Change]]&lt;&gt;"", RANK(F144, $F$6:$F$262)+COUNTIF($F$6:F144, F144)-1, 0))</f>
        <v/>
      </c>
      <c r="J144" s="35" t="str">
        <f>IFERROR((IF(I144= 0, COUNTIF($I$6:I144, 0), "")+MAX($I$6:$I$262)), "")</f>
        <v/>
      </c>
      <c r="K144" s="35" t="str">
        <f t="shared" si="10"/>
        <v/>
      </c>
      <c r="N144" s="34">
        <v>139</v>
      </c>
      <c r="O144" s="33" t="str">
        <f t="shared" si="11"/>
        <v/>
      </c>
    </row>
    <row r="145" spans="2:15" x14ac:dyDescent="0.25">
      <c r="B145" s="35" t="str">
        <f>IF(Control!$O148="","",INDEX(MemberOrg_Data[CFDA], Control!$O148))</f>
        <v/>
      </c>
      <c r="C145" s="35" t="str">
        <f t="array" ref="C145">IFERROR(INDEX(MemberOrg_Data[FEDERALPROGRAMNAME], MATCH(1, (SelectMemberOrg = MemberOrg_Data[Auditee Name])*(B145 = MemberOrg_Data[CFDA]), 0)), "")</f>
        <v/>
      </c>
      <c r="D145" s="36" t="str">
        <f>IFERROR(IF(B145 &lt;&gt; "", SUMIFS(MemberOrg_Data[Total Amount], MemberOrg_Data[Auditee Name], SelectMemberOrg, MemberOrg_Data[CFDA], B145), ""), "")</f>
        <v/>
      </c>
      <c r="E145" s="37" t="str">
        <f>IFERROR(INDEX(BudgetApprop_Data[President: % Change from 2019], MATCH(B145, BudgetApprop_Data[CFDA], 0)), "")</f>
        <v/>
      </c>
      <c r="F145" s="36" t="str">
        <f t="shared" si="8"/>
        <v/>
      </c>
      <c r="G145" s="46" t="str">
        <f>IFERROR(INDEX(BudgetApprop_Data[House: % Change from 2019], MATCH(FPWA_HelperTable[[#This Row],[CFDA]], BudgetApprop_Data[CFDA], 0)), "")</f>
        <v/>
      </c>
      <c r="H145" s="36" t="str">
        <f t="shared" si="9"/>
        <v/>
      </c>
      <c r="I145" s="35" t="str">
        <f>IF(B145 = "", "", IF(FPWA_HelperTable[[#This Row],[President $ Change]]&lt;&gt;"", RANK(F145, $F$6:$F$262)+COUNTIF($F$6:F145, F145)-1, 0))</f>
        <v/>
      </c>
      <c r="J145" s="35" t="str">
        <f>IFERROR((IF(I145= 0, COUNTIF($I$6:I145, 0), "")+MAX($I$6:$I$262)), "")</f>
        <v/>
      </c>
      <c r="K145" s="35" t="str">
        <f t="shared" si="10"/>
        <v/>
      </c>
      <c r="N145" s="34">
        <v>140</v>
      </c>
      <c r="O145" s="33" t="str">
        <f t="shared" si="11"/>
        <v/>
      </c>
    </row>
    <row r="146" spans="2:15" x14ac:dyDescent="0.25">
      <c r="B146" s="35" t="str">
        <f>IF(Control!$O149="","",INDEX(MemberOrg_Data[CFDA], Control!$O149))</f>
        <v/>
      </c>
      <c r="C146" s="35" t="str">
        <f t="array" ref="C146">IFERROR(INDEX(MemberOrg_Data[FEDERALPROGRAMNAME], MATCH(1, (SelectMemberOrg = MemberOrg_Data[Auditee Name])*(B146 = MemberOrg_Data[CFDA]), 0)), "")</f>
        <v/>
      </c>
      <c r="D146" s="36" t="str">
        <f>IFERROR(IF(B146 &lt;&gt; "", SUMIFS(MemberOrg_Data[Total Amount], MemberOrg_Data[Auditee Name], SelectMemberOrg, MemberOrg_Data[CFDA], B146), ""), "")</f>
        <v/>
      </c>
      <c r="E146" s="37" t="str">
        <f>IFERROR(INDEX(BudgetApprop_Data[President: % Change from 2019], MATCH(B146, BudgetApprop_Data[CFDA], 0)), "")</f>
        <v/>
      </c>
      <c r="F146" s="36" t="str">
        <f t="shared" si="8"/>
        <v/>
      </c>
      <c r="G146" s="46" t="str">
        <f>IFERROR(INDEX(BudgetApprop_Data[House: % Change from 2019], MATCH(FPWA_HelperTable[[#This Row],[CFDA]], BudgetApprop_Data[CFDA], 0)), "")</f>
        <v/>
      </c>
      <c r="H146" s="36" t="str">
        <f t="shared" si="9"/>
        <v/>
      </c>
      <c r="I146" s="35" t="str">
        <f>IF(B146 = "", "", IF(FPWA_HelperTable[[#This Row],[President $ Change]]&lt;&gt;"", RANK(F146, $F$6:$F$262)+COUNTIF($F$6:F146, F146)-1, 0))</f>
        <v/>
      </c>
      <c r="J146" s="35" t="str">
        <f>IFERROR((IF(I146= 0, COUNTIF($I$6:I146, 0), "")+MAX($I$6:$I$262)), "")</f>
        <v/>
      </c>
      <c r="K146" s="35" t="str">
        <f t="shared" si="10"/>
        <v/>
      </c>
      <c r="N146" s="34">
        <v>141</v>
      </c>
      <c r="O146" s="33" t="str">
        <f t="shared" si="11"/>
        <v/>
      </c>
    </row>
    <row r="147" spans="2:15" x14ac:dyDescent="0.25">
      <c r="B147" s="35" t="str">
        <f>IF(Control!$O150="","",INDEX(MemberOrg_Data[CFDA], Control!$O150))</f>
        <v/>
      </c>
      <c r="C147" s="35" t="str">
        <f t="array" ref="C147">IFERROR(INDEX(MemberOrg_Data[FEDERALPROGRAMNAME], MATCH(1, (SelectMemberOrg = MemberOrg_Data[Auditee Name])*(B147 = MemberOrg_Data[CFDA]), 0)), "")</f>
        <v/>
      </c>
      <c r="D147" s="36" t="str">
        <f>IFERROR(IF(B147 &lt;&gt; "", SUMIFS(MemberOrg_Data[Total Amount], MemberOrg_Data[Auditee Name], SelectMemberOrg, MemberOrg_Data[CFDA], B147), ""), "")</f>
        <v/>
      </c>
      <c r="E147" s="37" t="str">
        <f>IFERROR(INDEX(BudgetApprop_Data[President: % Change from 2019], MATCH(B147, BudgetApprop_Data[CFDA], 0)), "")</f>
        <v/>
      </c>
      <c r="F147" s="36" t="str">
        <f t="shared" si="8"/>
        <v/>
      </c>
      <c r="G147" s="46" t="str">
        <f>IFERROR(INDEX(BudgetApprop_Data[House: % Change from 2019], MATCH(FPWA_HelperTable[[#This Row],[CFDA]], BudgetApprop_Data[CFDA], 0)), "")</f>
        <v/>
      </c>
      <c r="H147" s="36" t="str">
        <f t="shared" si="9"/>
        <v/>
      </c>
      <c r="I147" s="35" t="str">
        <f>IF(B147 = "", "", IF(FPWA_HelperTable[[#This Row],[President $ Change]]&lt;&gt;"", RANK(F147, $F$6:$F$262)+COUNTIF($F$6:F147, F147)-1, 0))</f>
        <v/>
      </c>
      <c r="J147" s="35" t="str">
        <f>IFERROR((IF(I147= 0, COUNTIF($I$6:I147, 0), "")+MAX($I$6:$I$262)), "")</f>
        <v/>
      </c>
      <c r="K147" s="35" t="str">
        <f t="shared" si="10"/>
        <v/>
      </c>
      <c r="N147" s="34">
        <v>142</v>
      </c>
      <c r="O147" s="33" t="str">
        <f t="shared" si="11"/>
        <v/>
      </c>
    </row>
    <row r="148" spans="2:15" x14ac:dyDescent="0.25">
      <c r="B148" s="35" t="str">
        <f>IF(Control!$O151="","",INDEX(MemberOrg_Data[CFDA], Control!$O151))</f>
        <v/>
      </c>
      <c r="C148" s="35" t="str">
        <f t="array" ref="C148">IFERROR(INDEX(MemberOrg_Data[FEDERALPROGRAMNAME], MATCH(1, (SelectMemberOrg = MemberOrg_Data[Auditee Name])*(B148 = MemberOrg_Data[CFDA]), 0)), "")</f>
        <v/>
      </c>
      <c r="D148" s="36" t="str">
        <f>IFERROR(IF(B148 &lt;&gt; "", SUMIFS(MemberOrg_Data[Total Amount], MemberOrg_Data[Auditee Name], SelectMemberOrg, MemberOrg_Data[CFDA], B148), ""), "")</f>
        <v/>
      </c>
      <c r="E148" s="37" t="str">
        <f>IFERROR(INDEX(BudgetApprop_Data[President: % Change from 2019], MATCH(B148, BudgetApprop_Data[CFDA], 0)), "")</f>
        <v/>
      </c>
      <c r="F148" s="36" t="str">
        <f t="shared" si="8"/>
        <v/>
      </c>
      <c r="G148" s="46" t="str">
        <f>IFERROR(INDEX(BudgetApprop_Data[House: % Change from 2019], MATCH(FPWA_HelperTable[[#This Row],[CFDA]], BudgetApprop_Data[CFDA], 0)), "")</f>
        <v/>
      </c>
      <c r="H148" s="36" t="str">
        <f t="shared" si="9"/>
        <v/>
      </c>
      <c r="I148" s="35" t="str">
        <f>IF(B148 = "", "", IF(FPWA_HelperTable[[#This Row],[President $ Change]]&lt;&gt;"", RANK(F148, $F$6:$F$262)+COUNTIF($F$6:F148, F148)-1, 0))</f>
        <v/>
      </c>
      <c r="J148" s="35" t="str">
        <f>IFERROR((IF(I148= 0, COUNTIF($I$6:I148, 0), "")+MAX($I$6:$I$262)), "")</f>
        <v/>
      </c>
      <c r="K148" s="35" t="str">
        <f t="shared" si="10"/>
        <v/>
      </c>
      <c r="N148" s="34">
        <v>143</v>
      </c>
      <c r="O148" s="33" t="str">
        <f t="shared" si="11"/>
        <v/>
      </c>
    </row>
    <row r="149" spans="2:15" x14ac:dyDescent="0.25">
      <c r="B149" s="35" t="str">
        <f>IF(Control!$O152="","",INDEX(MemberOrg_Data[CFDA], Control!$O152))</f>
        <v/>
      </c>
      <c r="C149" s="35" t="str">
        <f t="array" ref="C149">IFERROR(INDEX(MemberOrg_Data[FEDERALPROGRAMNAME], MATCH(1, (SelectMemberOrg = MemberOrg_Data[Auditee Name])*(B149 = MemberOrg_Data[CFDA]), 0)), "")</f>
        <v/>
      </c>
      <c r="D149" s="36" t="str">
        <f>IFERROR(IF(B149 &lt;&gt; "", SUMIFS(MemberOrg_Data[Total Amount], MemberOrg_Data[Auditee Name], SelectMemberOrg, MemberOrg_Data[CFDA], B149), ""), "")</f>
        <v/>
      </c>
      <c r="E149" s="37" t="str">
        <f>IFERROR(INDEX(BudgetApprop_Data[President: % Change from 2019], MATCH(B149, BudgetApprop_Data[CFDA], 0)), "")</f>
        <v/>
      </c>
      <c r="F149" s="36" t="str">
        <f t="shared" si="8"/>
        <v/>
      </c>
      <c r="G149" s="46" t="str">
        <f>IFERROR(INDEX(BudgetApprop_Data[House: % Change from 2019], MATCH(FPWA_HelperTable[[#This Row],[CFDA]], BudgetApprop_Data[CFDA], 0)), "")</f>
        <v/>
      </c>
      <c r="H149" s="36" t="str">
        <f t="shared" si="9"/>
        <v/>
      </c>
      <c r="I149" s="35" t="str">
        <f>IF(B149 = "", "", IF(FPWA_HelperTable[[#This Row],[President $ Change]]&lt;&gt;"", RANK(F149, $F$6:$F$262)+COUNTIF($F$6:F149, F149)-1, 0))</f>
        <v/>
      </c>
      <c r="J149" s="35" t="str">
        <f>IFERROR((IF(I149= 0, COUNTIF($I$6:I149, 0), "")+MAX($I$6:$I$262)), "")</f>
        <v/>
      </c>
      <c r="K149" s="35" t="str">
        <f t="shared" si="10"/>
        <v/>
      </c>
      <c r="N149" s="34">
        <v>144</v>
      </c>
      <c r="O149" s="33" t="str">
        <f t="shared" si="11"/>
        <v/>
      </c>
    </row>
    <row r="150" spans="2:15" x14ac:dyDescent="0.25">
      <c r="B150" s="35" t="str">
        <f>IF(Control!$O153="","",INDEX(MemberOrg_Data[CFDA], Control!$O153))</f>
        <v/>
      </c>
      <c r="C150" s="35" t="str">
        <f t="array" ref="C150">IFERROR(INDEX(MemberOrg_Data[FEDERALPROGRAMNAME], MATCH(1, (SelectMemberOrg = MemberOrg_Data[Auditee Name])*(B150 = MemberOrg_Data[CFDA]), 0)), "")</f>
        <v/>
      </c>
      <c r="D150" s="36" t="str">
        <f>IFERROR(IF(B150 &lt;&gt; "", SUMIFS(MemberOrg_Data[Total Amount], MemberOrg_Data[Auditee Name], SelectMemberOrg, MemberOrg_Data[CFDA], B150), ""), "")</f>
        <v/>
      </c>
      <c r="E150" s="37" t="str">
        <f>IFERROR(INDEX(BudgetApprop_Data[President: % Change from 2019], MATCH(B150, BudgetApprop_Data[CFDA], 0)), "")</f>
        <v/>
      </c>
      <c r="F150" s="36" t="str">
        <f t="shared" si="8"/>
        <v/>
      </c>
      <c r="G150" s="46" t="str">
        <f>IFERROR(INDEX(BudgetApprop_Data[House: % Change from 2019], MATCH(FPWA_HelperTable[[#This Row],[CFDA]], BudgetApprop_Data[CFDA], 0)), "")</f>
        <v/>
      </c>
      <c r="H150" s="36" t="str">
        <f t="shared" si="9"/>
        <v/>
      </c>
      <c r="I150" s="35" t="str">
        <f>IF(B150 = "", "", IF(FPWA_HelperTable[[#This Row],[President $ Change]]&lt;&gt;"", RANK(F150, $F$6:$F$262)+COUNTIF($F$6:F150, F150)-1, 0))</f>
        <v/>
      </c>
      <c r="J150" s="35" t="str">
        <f>IFERROR((IF(I150= 0, COUNTIF($I$6:I150, 0), "")+MAX($I$6:$I$262)), "")</f>
        <v/>
      </c>
      <c r="K150" s="35" t="str">
        <f t="shared" si="10"/>
        <v/>
      </c>
      <c r="N150" s="34">
        <v>145</v>
      </c>
      <c r="O150" s="33" t="str">
        <f t="shared" si="11"/>
        <v/>
      </c>
    </row>
    <row r="151" spans="2:15" x14ac:dyDescent="0.25">
      <c r="B151" s="35" t="str">
        <f>IF(Control!$O154="","",INDEX(MemberOrg_Data[CFDA], Control!$O154))</f>
        <v/>
      </c>
      <c r="C151" s="35" t="str">
        <f t="array" ref="C151">IFERROR(INDEX(MemberOrg_Data[FEDERALPROGRAMNAME], MATCH(1, (SelectMemberOrg = MemberOrg_Data[Auditee Name])*(B151 = MemberOrg_Data[CFDA]), 0)), "")</f>
        <v/>
      </c>
      <c r="D151" s="36" t="str">
        <f>IFERROR(IF(B151 &lt;&gt; "", SUMIFS(MemberOrg_Data[Total Amount], MemberOrg_Data[Auditee Name], SelectMemberOrg, MemberOrg_Data[CFDA], B151), ""), "")</f>
        <v/>
      </c>
      <c r="E151" s="37" t="str">
        <f>IFERROR(INDEX(BudgetApprop_Data[President: % Change from 2019], MATCH(B151, BudgetApprop_Data[CFDA], 0)), "")</f>
        <v/>
      </c>
      <c r="F151" s="36" t="str">
        <f t="shared" si="8"/>
        <v/>
      </c>
      <c r="G151" s="46" t="str">
        <f>IFERROR(INDEX(BudgetApprop_Data[House: % Change from 2019], MATCH(FPWA_HelperTable[[#This Row],[CFDA]], BudgetApprop_Data[CFDA], 0)), "")</f>
        <v/>
      </c>
      <c r="H151" s="36" t="str">
        <f t="shared" si="9"/>
        <v/>
      </c>
      <c r="I151" s="35" t="str">
        <f>IF(B151 = "", "", IF(FPWA_HelperTable[[#This Row],[President $ Change]]&lt;&gt;"", RANK(F151, $F$6:$F$262)+COUNTIF($F$6:F151, F151)-1, 0))</f>
        <v/>
      </c>
      <c r="J151" s="35" t="str">
        <f>IFERROR((IF(I151= 0, COUNTIF($I$6:I151, 0), "")+MAX($I$6:$I$262)), "")</f>
        <v/>
      </c>
      <c r="K151" s="35" t="str">
        <f t="shared" si="10"/>
        <v/>
      </c>
      <c r="N151" s="34">
        <v>146</v>
      </c>
      <c r="O151" s="33" t="str">
        <f t="shared" si="11"/>
        <v/>
      </c>
    </row>
    <row r="152" spans="2:15" x14ac:dyDescent="0.25">
      <c r="B152" s="35" t="str">
        <f>IF(Control!$O155="","",INDEX(MemberOrg_Data[CFDA], Control!$O155))</f>
        <v/>
      </c>
      <c r="C152" s="35" t="str">
        <f t="array" ref="C152">IFERROR(INDEX(MemberOrg_Data[FEDERALPROGRAMNAME], MATCH(1, (SelectMemberOrg = MemberOrg_Data[Auditee Name])*(B152 = MemberOrg_Data[CFDA]), 0)), "")</f>
        <v/>
      </c>
      <c r="D152" s="36" t="str">
        <f>IFERROR(IF(B152 &lt;&gt; "", SUMIFS(MemberOrg_Data[Total Amount], MemberOrg_Data[Auditee Name], SelectMemberOrg, MemberOrg_Data[CFDA], B152), ""), "")</f>
        <v/>
      </c>
      <c r="E152" s="37" t="str">
        <f>IFERROR(INDEX(BudgetApprop_Data[President: % Change from 2019], MATCH(B152, BudgetApprop_Data[CFDA], 0)), "")</f>
        <v/>
      </c>
      <c r="F152" s="36" t="str">
        <f t="shared" si="8"/>
        <v/>
      </c>
      <c r="G152" s="46" t="str">
        <f>IFERROR(INDEX(BudgetApprop_Data[House: % Change from 2019], MATCH(FPWA_HelperTable[[#This Row],[CFDA]], BudgetApprop_Data[CFDA], 0)), "")</f>
        <v/>
      </c>
      <c r="H152" s="36" t="str">
        <f t="shared" si="9"/>
        <v/>
      </c>
      <c r="I152" s="35" t="str">
        <f>IF(B152 = "", "", IF(FPWA_HelperTable[[#This Row],[President $ Change]]&lt;&gt;"", RANK(F152, $F$6:$F$262)+COUNTIF($F$6:F152, F152)-1, 0))</f>
        <v/>
      </c>
      <c r="J152" s="35" t="str">
        <f>IFERROR((IF(I152= 0, COUNTIF($I$6:I152, 0), "")+MAX($I$6:$I$262)), "")</f>
        <v/>
      </c>
      <c r="K152" s="35" t="str">
        <f t="shared" si="10"/>
        <v/>
      </c>
      <c r="N152" s="34">
        <v>147</v>
      </c>
      <c r="O152" s="33" t="str">
        <f t="shared" si="11"/>
        <v/>
      </c>
    </row>
    <row r="153" spans="2:15" x14ac:dyDescent="0.25">
      <c r="B153" s="35" t="str">
        <f>IF(Control!$O156="","",INDEX(MemberOrg_Data[CFDA], Control!$O156))</f>
        <v/>
      </c>
      <c r="C153" s="35" t="str">
        <f t="array" ref="C153">IFERROR(INDEX(MemberOrg_Data[FEDERALPROGRAMNAME], MATCH(1, (SelectMemberOrg = MemberOrg_Data[Auditee Name])*(B153 = MemberOrg_Data[CFDA]), 0)), "")</f>
        <v/>
      </c>
      <c r="D153" s="36" t="str">
        <f>IFERROR(IF(B153 &lt;&gt; "", SUMIFS(MemberOrg_Data[Total Amount], MemberOrg_Data[Auditee Name], SelectMemberOrg, MemberOrg_Data[CFDA], B153), ""), "")</f>
        <v/>
      </c>
      <c r="E153" s="37" t="str">
        <f>IFERROR(INDEX(BudgetApprop_Data[President: % Change from 2019], MATCH(B153, BudgetApprop_Data[CFDA], 0)), "")</f>
        <v/>
      </c>
      <c r="F153" s="36" t="str">
        <f t="shared" si="8"/>
        <v/>
      </c>
      <c r="G153" s="46" t="str">
        <f>IFERROR(INDEX(BudgetApprop_Data[House: % Change from 2019], MATCH(FPWA_HelperTable[[#This Row],[CFDA]], BudgetApprop_Data[CFDA], 0)), "")</f>
        <v/>
      </c>
      <c r="H153" s="36" t="str">
        <f t="shared" si="9"/>
        <v/>
      </c>
      <c r="I153" s="35" t="str">
        <f>IF(B153 = "", "", IF(FPWA_HelperTable[[#This Row],[President $ Change]]&lt;&gt;"", RANK(F153, $F$6:$F$262)+COUNTIF($F$6:F153, F153)-1, 0))</f>
        <v/>
      </c>
      <c r="J153" s="35" t="str">
        <f>IFERROR((IF(I153= 0, COUNTIF($I$6:I153, 0), "")+MAX($I$6:$I$262)), "")</f>
        <v/>
      </c>
      <c r="K153" s="35" t="str">
        <f t="shared" si="10"/>
        <v/>
      </c>
      <c r="N153" s="34">
        <v>148</v>
      </c>
      <c r="O153" s="33" t="str">
        <f t="shared" si="11"/>
        <v/>
      </c>
    </row>
    <row r="154" spans="2:15" x14ac:dyDescent="0.25">
      <c r="B154" s="35" t="str">
        <f>IF(Control!$O157="","",INDEX(MemberOrg_Data[CFDA], Control!$O157))</f>
        <v/>
      </c>
      <c r="C154" s="35" t="str">
        <f t="array" ref="C154">IFERROR(INDEX(MemberOrg_Data[FEDERALPROGRAMNAME], MATCH(1, (SelectMemberOrg = MemberOrg_Data[Auditee Name])*(B154 = MemberOrg_Data[CFDA]), 0)), "")</f>
        <v/>
      </c>
      <c r="D154" s="36" t="str">
        <f>IFERROR(IF(B154 &lt;&gt; "", SUMIFS(MemberOrg_Data[Total Amount], MemberOrg_Data[Auditee Name], SelectMemberOrg, MemberOrg_Data[CFDA], B154), ""), "")</f>
        <v/>
      </c>
      <c r="E154" s="37" t="str">
        <f>IFERROR(INDEX(BudgetApprop_Data[President: % Change from 2019], MATCH(B154, BudgetApprop_Data[CFDA], 0)), "")</f>
        <v/>
      </c>
      <c r="F154" s="36" t="str">
        <f t="shared" si="8"/>
        <v/>
      </c>
      <c r="G154" s="46" t="str">
        <f>IFERROR(INDEX(BudgetApprop_Data[House: % Change from 2019], MATCH(FPWA_HelperTable[[#This Row],[CFDA]], BudgetApprop_Data[CFDA], 0)), "")</f>
        <v/>
      </c>
      <c r="H154" s="36" t="str">
        <f t="shared" si="9"/>
        <v/>
      </c>
      <c r="I154" s="35" t="str">
        <f>IF(B154 = "", "", IF(FPWA_HelperTable[[#This Row],[President $ Change]]&lt;&gt;"", RANK(F154, $F$6:$F$262)+COUNTIF($F$6:F154, F154)-1, 0))</f>
        <v/>
      </c>
      <c r="J154" s="35" t="str">
        <f>IFERROR((IF(I154= 0, COUNTIF($I$6:I154, 0), "")+MAX($I$6:$I$262)), "")</f>
        <v/>
      </c>
      <c r="K154" s="35" t="str">
        <f t="shared" si="10"/>
        <v/>
      </c>
      <c r="N154" s="34">
        <v>149</v>
      </c>
      <c r="O154" s="33" t="str">
        <f t="shared" si="11"/>
        <v/>
      </c>
    </row>
    <row r="155" spans="2:15" x14ac:dyDescent="0.25">
      <c r="B155" s="35" t="str">
        <f>IF(Control!$O158="","",INDEX(MemberOrg_Data[CFDA], Control!$O158))</f>
        <v/>
      </c>
      <c r="C155" s="35" t="str">
        <f t="array" ref="C155">IFERROR(INDEX(MemberOrg_Data[FEDERALPROGRAMNAME], MATCH(1, (SelectMemberOrg = MemberOrg_Data[Auditee Name])*(B155 = MemberOrg_Data[CFDA]), 0)), "")</f>
        <v/>
      </c>
      <c r="D155" s="36" t="str">
        <f>IFERROR(IF(B155 &lt;&gt; "", SUMIFS(MemberOrg_Data[Total Amount], MemberOrg_Data[Auditee Name], SelectMemberOrg, MemberOrg_Data[CFDA], B155), ""), "")</f>
        <v/>
      </c>
      <c r="E155" s="37" t="str">
        <f>IFERROR(INDEX(BudgetApprop_Data[President: % Change from 2019], MATCH(B155, BudgetApprop_Data[CFDA], 0)), "")</f>
        <v/>
      </c>
      <c r="F155" s="36" t="str">
        <f t="shared" si="8"/>
        <v/>
      </c>
      <c r="G155" s="46" t="str">
        <f>IFERROR(INDEX(BudgetApprop_Data[House: % Change from 2019], MATCH(FPWA_HelperTable[[#This Row],[CFDA]], BudgetApprop_Data[CFDA], 0)), "")</f>
        <v/>
      </c>
      <c r="H155" s="36" t="str">
        <f t="shared" si="9"/>
        <v/>
      </c>
      <c r="I155" s="35" t="str">
        <f>IF(B155 = "", "", IF(FPWA_HelperTable[[#This Row],[President $ Change]]&lt;&gt;"", RANK(F155, $F$6:$F$262)+COUNTIF($F$6:F155, F155)-1, 0))</f>
        <v/>
      </c>
      <c r="J155" s="35" t="str">
        <f>IFERROR((IF(I155= 0, COUNTIF($I$6:I155, 0), "")+MAX($I$6:$I$262)), "")</f>
        <v/>
      </c>
      <c r="K155" s="35" t="str">
        <f t="shared" si="10"/>
        <v/>
      </c>
      <c r="N155" s="34">
        <v>150</v>
      </c>
      <c r="O155" s="33" t="str">
        <f t="shared" si="11"/>
        <v/>
      </c>
    </row>
    <row r="156" spans="2:15" x14ac:dyDescent="0.25">
      <c r="B156" s="35" t="str">
        <f>IF(Control!$O159="","",INDEX(MemberOrg_Data[CFDA], Control!$O159))</f>
        <v/>
      </c>
      <c r="C156" s="35" t="str">
        <f t="array" ref="C156">IFERROR(INDEX(MemberOrg_Data[FEDERALPROGRAMNAME], MATCH(1, (SelectMemberOrg = MemberOrg_Data[Auditee Name])*(B156 = MemberOrg_Data[CFDA]), 0)), "")</f>
        <v/>
      </c>
      <c r="D156" s="36" t="str">
        <f>IFERROR(IF(B156 &lt;&gt; "", SUMIFS(MemberOrg_Data[Total Amount], MemberOrg_Data[Auditee Name], SelectMemberOrg, MemberOrg_Data[CFDA], B156), ""), "")</f>
        <v/>
      </c>
      <c r="E156" s="37" t="str">
        <f>IFERROR(INDEX(BudgetApprop_Data[President: % Change from 2019], MATCH(B156, BudgetApprop_Data[CFDA], 0)), "")</f>
        <v/>
      </c>
      <c r="F156" s="36" t="str">
        <f t="shared" si="8"/>
        <v/>
      </c>
      <c r="G156" s="46" t="str">
        <f>IFERROR(INDEX(BudgetApprop_Data[House: % Change from 2019], MATCH(FPWA_HelperTable[[#This Row],[CFDA]], BudgetApprop_Data[CFDA], 0)), "")</f>
        <v/>
      </c>
      <c r="H156" s="36" t="str">
        <f t="shared" si="9"/>
        <v/>
      </c>
      <c r="I156" s="35" t="str">
        <f>IF(B156 = "", "", IF(FPWA_HelperTable[[#This Row],[President $ Change]]&lt;&gt;"", RANK(F156, $F$6:$F$262)+COUNTIF($F$6:F156, F156)-1, 0))</f>
        <v/>
      </c>
      <c r="J156" s="35" t="str">
        <f>IFERROR((IF(I156= 0, COUNTIF($I$6:I156, 0), "")+MAX($I$6:$I$262)), "")</f>
        <v/>
      </c>
      <c r="K156" s="35" t="str">
        <f t="shared" si="10"/>
        <v/>
      </c>
      <c r="N156" s="34">
        <v>151</v>
      </c>
      <c r="O156" s="33" t="str">
        <f t="shared" si="11"/>
        <v/>
      </c>
    </row>
    <row r="157" spans="2:15" x14ac:dyDescent="0.25">
      <c r="B157" s="35" t="str">
        <f>IF(Control!$O160="","",INDEX(MemberOrg_Data[CFDA], Control!$O160))</f>
        <v/>
      </c>
      <c r="C157" s="35" t="str">
        <f t="array" ref="C157">IFERROR(INDEX(MemberOrg_Data[FEDERALPROGRAMNAME], MATCH(1, (SelectMemberOrg = MemberOrg_Data[Auditee Name])*(B157 = MemberOrg_Data[CFDA]), 0)), "")</f>
        <v/>
      </c>
      <c r="D157" s="36" t="str">
        <f>IFERROR(IF(B157 &lt;&gt; "", SUMIFS(MemberOrg_Data[Total Amount], MemberOrg_Data[Auditee Name], SelectMemberOrg, MemberOrg_Data[CFDA], B157), ""), "")</f>
        <v/>
      </c>
      <c r="E157" s="37" t="str">
        <f>IFERROR(INDEX(BudgetApprop_Data[President: % Change from 2019], MATCH(B157, BudgetApprop_Data[CFDA], 0)), "")</f>
        <v/>
      </c>
      <c r="F157" s="36" t="str">
        <f t="shared" si="8"/>
        <v/>
      </c>
      <c r="G157" s="46" t="str">
        <f>IFERROR(INDEX(BudgetApprop_Data[House: % Change from 2019], MATCH(FPWA_HelperTable[[#This Row],[CFDA]], BudgetApprop_Data[CFDA], 0)), "")</f>
        <v/>
      </c>
      <c r="H157" s="36" t="str">
        <f t="shared" si="9"/>
        <v/>
      </c>
      <c r="I157" s="35" t="str">
        <f>IF(B157 = "", "", IF(FPWA_HelperTable[[#This Row],[President $ Change]]&lt;&gt;"", RANK(F157, $F$6:$F$262)+COUNTIF($F$6:F157, F157)-1, 0))</f>
        <v/>
      </c>
      <c r="J157" s="35" t="str">
        <f>IFERROR((IF(I157= 0, COUNTIF($I$6:I157, 0), "")+MAX($I$6:$I$262)), "")</f>
        <v/>
      </c>
      <c r="K157" s="35" t="str">
        <f t="shared" si="10"/>
        <v/>
      </c>
      <c r="N157" s="34">
        <v>152</v>
      </c>
      <c r="O157" s="33" t="str">
        <f t="shared" si="11"/>
        <v/>
      </c>
    </row>
    <row r="158" spans="2:15" x14ac:dyDescent="0.25">
      <c r="B158" s="35" t="str">
        <f>IF(Control!$O161="","",INDEX(MemberOrg_Data[CFDA], Control!$O161))</f>
        <v/>
      </c>
      <c r="C158" s="35" t="str">
        <f t="array" ref="C158">IFERROR(INDEX(MemberOrg_Data[FEDERALPROGRAMNAME], MATCH(1, (SelectMemberOrg = MemberOrg_Data[Auditee Name])*(B158 = MemberOrg_Data[CFDA]), 0)), "")</f>
        <v/>
      </c>
      <c r="D158" s="36" t="str">
        <f>IFERROR(IF(B158 &lt;&gt; "", SUMIFS(MemberOrg_Data[Total Amount], MemberOrg_Data[Auditee Name], SelectMemberOrg, MemberOrg_Data[CFDA], B158), ""), "")</f>
        <v/>
      </c>
      <c r="E158" s="37" t="str">
        <f>IFERROR(INDEX(BudgetApprop_Data[President: % Change from 2019], MATCH(B158, BudgetApprop_Data[CFDA], 0)), "")</f>
        <v/>
      </c>
      <c r="F158" s="36" t="str">
        <f t="shared" si="8"/>
        <v/>
      </c>
      <c r="G158" s="46" t="str">
        <f>IFERROR(INDEX(BudgetApprop_Data[House: % Change from 2019], MATCH(FPWA_HelperTable[[#This Row],[CFDA]], BudgetApprop_Data[CFDA], 0)), "")</f>
        <v/>
      </c>
      <c r="H158" s="36" t="str">
        <f t="shared" si="9"/>
        <v/>
      </c>
      <c r="I158" s="35" t="str">
        <f>IF(B158 = "", "", IF(FPWA_HelperTable[[#This Row],[President $ Change]]&lt;&gt;"", RANK(F158, $F$6:$F$262)+COUNTIF($F$6:F158, F158)-1, 0))</f>
        <v/>
      </c>
      <c r="J158" s="35" t="str">
        <f>IFERROR((IF(I158= 0, COUNTIF($I$6:I158, 0), "")+MAX($I$6:$I$262)), "")</f>
        <v/>
      </c>
      <c r="K158" s="35" t="str">
        <f t="shared" si="10"/>
        <v/>
      </c>
      <c r="N158" s="34">
        <v>153</v>
      </c>
      <c r="O158" s="33" t="str">
        <f t="shared" si="11"/>
        <v/>
      </c>
    </row>
    <row r="159" spans="2:15" x14ac:dyDescent="0.25">
      <c r="B159" s="35" t="str">
        <f>IF(Control!$O162="","",INDEX(MemberOrg_Data[CFDA], Control!$O162))</f>
        <v/>
      </c>
      <c r="C159" s="35" t="str">
        <f t="array" ref="C159">IFERROR(INDEX(MemberOrg_Data[FEDERALPROGRAMNAME], MATCH(1, (SelectMemberOrg = MemberOrg_Data[Auditee Name])*(B159 = MemberOrg_Data[CFDA]), 0)), "")</f>
        <v/>
      </c>
      <c r="D159" s="36" t="str">
        <f>IFERROR(IF(B159 &lt;&gt; "", SUMIFS(MemberOrg_Data[Total Amount], MemberOrg_Data[Auditee Name], SelectMemberOrg, MemberOrg_Data[CFDA], B159), ""), "")</f>
        <v/>
      </c>
      <c r="E159" s="37" t="str">
        <f>IFERROR(INDEX(BudgetApprop_Data[President: % Change from 2019], MATCH(B159, BudgetApprop_Data[CFDA], 0)), "")</f>
        <v/>
      </c>
      <c r="F159" s="36" t="str">
        <f t="shared" si="8"/>
        <v/>
      </c>
      <c r="G159" s="46" t="str">
        <f>IFERROR(INDEX(BudgetApprop_Data[House: % Change from 2019], MATCH(FPWA_HelperTable[[#This Row],[CFDA]], BudgetApprop_Data[CFDA], 0)), "")</f>
        <v/>
      </c>
      <c r="H159" s="36" t="str">
        <f t="shared" si="9"/>
        <v/>
      </c>
      <c r="I159" s="35" t="str">
        <f>IF(B159 = "", "", IF(FPWA_HelperTable[[#This Row],[President $ Change]]&lt;&gt;"", RANK(F159, $F$6:$F$262)+COUNTIF($F$6:F159, F159)-1, 0))</f>
        <v/>
      </c>
      <c r="J159" s="35" t="str">
        <f>IFERROR((IF(I159= 0, COUNTIF($I$6:I159, 0), "")+MAX($I$6:$I$262)), "")</f>
        <v/>
      </c>
      <c r="K159" s="35" t="str">
        <f t="shared" si="10"/>
        <v/>
      </c>
      <c r="N159" s="34">
        <v>154</v>
      </c>
      <c r="O159" s="33" t="str">
        <f t="shared" si="11"/>
        <v/>
      </c>
    </row>
    <row r="160" spans="2:15" x14ac:dyDescent="0.25">
      <c r="B160" s="35" t="str">
        <f>IF(Control!$O163="","",INDEX(MemberOrg_Data[CFDA], Control!$O163))</f>
        <v/>
      </c>
      <c r="C160" s="35" t="str">
        <f t="array" ref="C160">IFERROR(INDEX(MemberOrg_Data[FEDERALPROGRAMNAME], MATCH(1, (SelectMemberOrg = MemberOrg_Data[Auditee Name])*(B160 = MemberOrg_Data[CFDA]), 0)), "")</f>
        <v/>
      </c>
      <c r="D160" s="36" t="str">
        <f>IFERROR(IF(B160 &lt;&gt; "", SUMIFS(MemberOrg_Data[Total Amount], MemberOrg_Data[Auditee Name], SelectMemberOrg, MemberOrg_Data[CFDA], B160), ""), "")</f>
        <v/>
      </c>
      <c r="E160" s="37" t="str">
        <f>IFERROR(INDEX(BudgetApprop_Data[President: % Change from 2019], MATCH(B160, BudgetApprop_Data[CFDA], 0)), "")</f>
        <v/>
      </c>
      <c r="F160" s="36" t="str">
        <f t="shared" si="8"/>
        <v/>
      </c>
      <c r="G160" s="46" t="str">
        <f>IFERROR(INDEX(BudgetApprop_Data[House: % Change from 2019], MATCH(FPWA_HelperTable[[#This Row],[CFDA]], BudgetApprop_Data[CFDA], 0)), "")</f>
        <v/>
      </c>
      <c r="H160" s="36" t="str">
        <f t="shared" si="9"/>
        <v/>
      </c>
      <c r="I160" s="35" t="str">
        <f>IF(B160 = "", "", IF(FPWA_HelperTable[[#This Row],[President $ Change]]&lt;&gt;"", RANK(F160, $F$6:$F$262)+COUNTIF($F$6:F160, F160)-1, 0))</f>
        <v/>
      </c>
      <c r="J160" s="35" t="str">
        <f>IFERROR((IF(I160= 0, COUNTIF($I$6:I160, 0), "")+MAX($I$6:$I$262)), "")</f>
        <v/>
      </c>
      <c r="K160" s="35" t="str">
        <f t="shared" si="10"/>
        <v/>
      </c>
      <c r="N160" s="34">
        <v>155</v>
      </c>
      <c r="O160" s="33" t="str">
        <f t="shared" si="11"/>
        <v/>
      </c>
    </row>
    <row r="161" spans="2:15" x14ac:dyDescent="0.25">
      <c r="B161" s="35" t="str">
        <f>IF(Control!$O164="","",INDEX(MemberOrg_Data[CFDA], Control!$O164))</f>
        <v/>
      </c>
      <c r="C161" s="35" t="str">
        <f t="array" ref="C161">IFERROR(INDEX(MemberOrg_Data[FEDERALPROGRAMNAME], MATCH(1, (SelectMemberOrg = MemberOrg_Data[Auditee Name])*(B161 = MemberOrg_Data[CFDA]), 0)), "")</f>
        <v/>
      </c>
      <c r="D161" s="36" t="str">
        <f>IFERROR(IF(B161 &lt;&gt; "", SUMIFS(MemberOrg_Data[Total Amount], MemberOrg_Data[Auditee Name], SelectMemberOrg, MemberOrg_Data[CFDA], B161), ""), "")</f>
        <v/>
      </c>
      <c r="E161" s="37" t="str">
        <f>IFERROR(INDEX(BudgetApprop_Data[President: % Change from 2019], MATCH(B161, BudgetApprop_Data[CFDA], 0)), "")</f>
        <v/>
      </c>
      <c r="F161" s="36" t="str">
        <f t="shared" si="8"/>
        <v/>
      </c>
      <c r="G161" s="46" t="str">
        <f>IFERROR(INDEX(BudgetApprop_Data[House: % Change from 2019], MATCH(FPWA_HelperTable[[#This Row],[CFDA]], BudgetApprop_Data[CFDA], 0)), "")</f>
        <v/>
      </c>
      <c r="H161" s="36" t="str">
        <f t="shared" si="9"/>
        <v/>
      </c>
      <c r="I161" s="35" t="str">
        <f>IF(B161 = "", "", IF(FPWA_HelperTable[[#This Row],[President $ Change]]&lt;&gt;"", RANK(F161, $F$6:$F$262)+COUNTIF($F$6:F161, F161)-1, 0))</f>
        <v/>
      </c>
      <c r="J161" s="35" t="str">
        <f>IFERROR((IF(I161= 0, COUNTIF($I$6:I161, 0), "")+MAX($I$6:$I$262)), "")</f>
        <v/>
      </c>
      <c r="K161" s="35" t="str">
        <f t="shared" si="10"/>
        <v/>
      </c>
      <c r="N161" s="34">
        <v>156</v>
      </c>
      <c r="O161" s="33" t="str">
        <f t="shared" si="11"/>
        <v/>
      </c>
    </row>
    <row r="162" spans="2:15" x14ac:dyDescent="0.25">
      <c r="B162" s="35" t="str">
        <f>IF(Control!$O165="","",INDEX(MemberOrg_Data[CFDA], Control!$O165))</f>
        <v/>
      </c>
      <c r="C162" s="35" t="str">
        <f t="array" ref="C162">IFERROR(INDEX(MemberOrg_Data[FEDERALPROGRAMNAME], MATCH(1, (SelectMemberOrg = MemberOrg_Data[Auditee Name])*(B162 = MemberOrg_Data[CFDA]), 0)), "")</f>
        <v/>
      </c>
      <c r="D162" s="36" t="str">
        <f>IFERROR(IF(B162 &lt;&gt; "", SUMIFS(MemberOrg_Data[Total Amount], MemberOrg_Data[Auditee Name], SelectMemberOrg, MemberOrg_Data[CFDA], B162), ""), "")</f>
        <v/>
      </c>
      <c r="E162" s="37" t="str">
        <f>IFERROR(INDEX(BudgetApprop_Data[President: % Change from 2019], MATCH(B162, BudgetApprop_Data[CFDA], 0)), "")</f>
        <v/>
      </c>
      <c r="F162" s="36" t="str">
        <f t="shared" si="8"/>
        <v/>
      </c>
      <c r="G162" s="46" t="str">
        <f>IFERROR(INDEX(BudgetApprop_Data[House: % Change from 2019], MATCH(FPWA_HelperTable[[#This Row],[CFDA]], BudgetApprop_Data[CFDA], 0)), "")</f>
        <v/>
      </c>
      <c r="H162" s="36" t="str">
        <f t="shared" si="9"/>
        <v/>
      </c>
      <c r="I162" s="35" t="str">
        <f>IF(B162 = "", "", IF(FPWA_HelperTable[[#This Row],[President $ Change]]&lt;&gt;"", RANK(F162, $F$6:$F$262)+COUNTIF($F$6:F162, F162)-1, 0))</f>
        <v/>
      </c>
      <c r="J162" s="35" t="str">
        <f>IFERROR((IF(I162= 0, COUNTIF($I$6:I162, 0), "")+MAX($I$6:$I$262)), "")</f>
        <v/>
      </c>
      <c r="K162" s="35" t="str">
        <f t="shared" si="10"/>
        <v/>
      </c>
      <c r="N162" s="34">
        <v>157</v>
      </c>
      <c r="O162" s="33" t="str">
        <f t="shared" si="11"/>
        <v/>
      </c>
    </row>
    <row r="163" spans="2:15" x14ac:dyDescent="0.25">
      <c r="B163" s="35" t="str">
        <f>IF(Control!$O166="","",INDEX(MemberOrg_Data[CFDA], Control!$O166))</f>
        <v/>
      </c>
      <c r="C163" s="35" t="str">
        <f t="array" ref="C163">IFERROR(INDEX(MemberOrg_Data[FEDERALPROGRAMNAME], MATCH(1, (SelectMemberOrg = MemberOrg_Data[Auditee Name])*(B163 = MemberOrg_Data[CFDA]), 0)), "")</f>
        <v/>
      </c>
      <c r="D163" s="36" t="str">
        <f>IFERROR(IF(B163 &lt;&gt; "", SUMIFS(MemberOrg_Data[Total Amount], MemberOrg_Data[Auditee Name], SelectMemberOrg, MemberOrg_Data[CFDA], B163), ""), "")</f>
        <v/>
      </c>
      <c r="E163" s="37" t="str">
        <f>IFERROR(INDEX(BudgetApprop_Data[President: % Change from 2019], MATCH(B163, BudgetApprop_Data[CFDA], 0)), "")</f>
        <v/>
      </c>
      <c r="F163" s="36" t="str">
        <f t="shared" si="8"/>
        <v/>
      </c>
      <c r="G163" s="46" t="str">
        <f>IFERROR(INDEX(BudgetApprop_Data[House: % Change from 2019], MATCH(FPWA_HelperTable[[#This Row],[CFDA]], BudgetApprop_Data[CFDA], 0)), "")</f>
        <v/>
      </c>
      <c r="H163" s="36" t="str">
        <f t="shared" si="9"/>
        <v/>
      </c>
      <c r="I163" s="35" t="str">
        <f>IF(B163 = "", "", IF(FPWA_HelperTable[[#This Row],[President $ Change]]&lt;&gt;"", RANK(F163, $F$6:$F$262)+COUNTIF($F$6:F163, F163)-1, 0))</f>
        <v/>
      </c>
      <c r="J163" s="35" t="str">
        <f>IFERROR((IF(I163= 0, COUNTIF($I$6:I163, 0), "")+MAX($I$6:$I$262)), "")</f>
        <v/>
      </c>
      <c r="K163" s="35" t="str">
        <f t="shared" si="10"/>
        <v/>
      </c>
      <c r="N163" s="34">
        <v>158</v>
      </c>
      <c r="O163" s="33" t="str">
        <f t="shared" si="11"/>
        <v/>
      </c>
    </row>
    <row r="164" spans="2:15" x14ac:dyDescent="0.25">
      <c r="B164" s="35" t="str">
        <f>IF(Control!$O167="","",INDEX(MemberOrg_Data[CFDA], Control!$O167))</f>
        <v/>
      </c>
      <c r="C164" s="35" t="str">
        <f t="array" ref="C164">IFERROR(INDEX(MemberOrg_Data[FEDERALPROGRAMNAME], MATCH(1, (SelectMemberOrg = MemberOrg_Data[Auditee Name])*(B164 = MemberOrg_Data[CFDA]), 0)), "")</f>
        <v/>
      </c>
      <c r="D164" s="36" t="str">
        <f>IFERROR(IF(B164 &lt;&gt; "", SUMIFS(MemberOrg_Data[Total Amount], MemberOrg_Data[Auditee Name], SelectMemberOrg, MemberOrg_Data[CFDA], B164), ""), "")</f>
        <v/>
      </c>
      <c r="E164" s="37" t="str">
        <f>IFERROR(INDEX(BudgetApprop_Data[President: % Change from 2019], MATCH(B164, BudgetApprop_Data[CFDA], 0)), "")</f>
        <v/>
      </c>
      <c r="F164" s="36" t="str">
        <f t="shared" si="8"/>
        <v/>
      </c>
      <c r="G164" s="46" t="str">
        <f>IFERROR(INDEX(BudgetApprop_Data[House: % Change from 2019], MATCH(FPWA_HelperTable[[#This Row],[CFDA]], BudgetApprop_Data[CFDA], 0)), "")</f>
        <v/>
      </c>
      <c r="H164" s="36" t="str">
        <f t="shared" si="9"/>
        <v/>
      </c>
      <c r="I164" s="35" t="str">
        <f>IF(B164 = "", "", IF(FPWA_HelperTable[[#This Row],[President $ Change]]&lt;&gt;"", RANK(F164, $F$6:$F$262)+COUNTIF($F$6:F164, F164)-1, 0))</f>
        <v/>
      </c>
      <c r="J164" s="35" t="str">
        <f>IFERROR((IF(I164= 0, COUNTIF($I$6:I164, 0), "")+MAX($I$6:$I$262)), "")</f>
        <v/>
      </c>
      <c r="K164" s="35" t="str">
        <f t="shared" si="10"/>
        <v/>
      </c>
      <c r="N164" s="34">
        <v>159</v>
      </c>
      <c r="O164" s="33" t="str">
        <f t="shared" si="11"/>
        <v/>
      </c>
    </row>
    <row r="165" spans="2:15" x14ac:dyDescent="0.25">
      <c r="B165" s="35" t="str">
        <f>IF(Control!$O168="","",INDEX(MemberOrg_Data[CFDA], Control!$O168))</f>
        <v/>
      </c>
      <c r="C165" s="35" t="str">
        <f t="array" ref="C165">IFERROR(INDEX(MemberOrg_Data[FEDERALPROGRAMNAME], MATCH(1, (SelectMemberOrg = MemberOrg_Data[Auditee Name])*(B165 = MemberOrg_Data[CFDA]), 0)), "")</f>
        <v/>
      </c>
      <c r="D165" s="36" t="str">
        <f>IFERROR(IF(B165 &lt;&gt; "", SUMIFS(MemberOrg_Data[Total Amount], MemberOrg_Data[Auditee Name], SelectMemberOrg, MemberOrg_Data[CFDA], B165), ""), "")</f>
        <v/>
      </c>
      <c r="E165" s="37" t="str">
        <f>IFERROR(INDEX(BudgetApprop_Data[President: % Change from 2019], MATCH(B165, BudgetApprop_Data[CFDA], 0)), "")</f>
        <v/>
      </c>
      <c r="F165" s="36" t="str">
        <f t="shared" si="8"/>
        <v/>
      </c>
      <c r="G165" s="46" t="str">
        <f>IFERROR(INDEX(BudgetApprop_Data[House: % Change from 2019], MATCH(FPWA_HelperTable[[#This Row],[CFDA]], BudgetApprop_Data[CFDA], 0)), "")</f>
        <v/>
      </c>
      <c r="H165" s="36" t="str">
        <f t="shared" si="9"/>
        <v/>
      </c>
      <c r="I165" s="35" t="str">
        <f>IF(B165 = "", "", IF(FPWA_HelperTable[[#This Row],[President $ Change]]&lt;&gt;"", RANK(F165, $F$6:$F$262)+COUNTIF($F$6:F165, F165)-1, 0))</f>
        <v/>
      </c>
      <c r="J165" s="35" t="str">
        <f>IFERROR((IF(I165= 0, COUNTIF($I$6:I165, 0), "")+MAX($I$6:$I$262)), "")</f>
        <v/>
      </c>
      <c r="K165" s="35" t="str">
        <f t="shared" si="10"/>
        <v/>
      </c>
      <c r="N165" s="34">
        <v>160</v>
      </c>
      <c r="O165" s="33" t="str">
        <f t="shared" si="11"/>
        <v/>
      </c>
    </row>
    <row r="166" spans="2:15" x14ac:dyDescent="0.25">
      <c r="B166" s="35" t="str">
        <f>IF(Control!$O169="","",INDEX(MemberOrg_Data[CFDA], Control!$O169))</f>
        <v/>
      </c>
      <c r="C166" s="35" t="str">
        <f t="array" ref="C166">IFERROR(INDEX(MemberOrg_Data[FEDERALPROGRAMNAME], MATCH(1, (SelectMemberOrg = MemberOrg_Data[Auditee Name])*(B166 = MemberOrg_Data[CFDA]), 0)), "")</f>
        <v/>
      </c>
      <c r="D166" s="36" t="str">
        <f>IFERROR(IF(B166 &lt;&gt; "", SUMIFS(MemberOrg_Data[Total Amount], MemberOrg_Data[Auditee Name], SelectMemberOrg, MemberOrg_Data[CFDA], B166), ""), "")</f>
        <v/>
      </c>
      <c r="E166" s="37" t="str">
        <f>IFERROR(INDEX(BudgetApprop_Data[President: % Change from 2019], MATCH(B166, BudgetApprop_Data[CFDA], 0)), "")</f>
        <v/>
      </c>
      <c r="F166" s="36" t="str">
        <f t="shared" si="8"/>
        <v/>
      </c>
      <c r="G166" s="46" t="str">
        <f>IFERROR(INDEX(BudgetApprop_Data[House: % Change from 2019], MATCH(FPWA_HelperTable[[#This Row],[CFDA]], BudgetApprop_Data[CFDA], 0)), "")</f>
        <v/>
      </c>
      <c r="H166" s="36" t="str">
        <f t="shared" si="9"/>
        <v/>
      </c>
      <c r="I166" s="35" t="str">
        <f>IF(B166 = "", "", IF(FPWA_HelperTable[[#This Row],[President $ Change]]&lt;&gt;"", RANK(F166, $F$6:$F$262)+COUNTIF($F$6:F166, F166)-1, 0))</f>
        <v/>
      </c>
      <c r="J166" s="35" t="str">
        <f>IFERROR((IF(I166= 0, COUNTIF($I$6:I166, 0), "")+MAX($I$6:$I$262)), "")</f>
        <v/>
      </c>
      <c r="K166" s="35" t="str">
        <f t="shared" si="10"/>
        <v/>
      </c>
      <c r="N166" s="34">
        <v>161</v>
      </c>
      <c r="O166" s="33" t="str">
        <f t="shared" si="11"/>
        <v/>
      </c>
    </row>
    <row r="167" spans="2:15" x14ac:dyDescent="0.25">
      <c r="B167" s="35" t="str">
        <f>IF(Control!$O170="","",INDEX(MemberOrg_Data[CFDA], Control!$O170))</f>
        <v/>
      </c>
      <c r="C167" s="35" t="str">
        <f t="array" ref="C167">IFERROR(INDEX(MemberOrg_Data[FEDERALPROGRAMNAME], MATCH(1, (SelectMemberOrg = MemberOrg_Data[Auditee Name])*(B167 = MemberOrg_Data[CFDA]), 0)), "")</f>
        <v/>
      </c>
      <c r="D167" s="36" t="str">
        <f>IFERROR(IF(B167 &lt;&gt; "", SUMIFS(MemberOrg_Data[Total Amount], MemberOrg_Data[Auditee Name], SelectMemberOrg, MemberOrg_Data[CFDA], B167), ""), "")</f>
        <v/>
      </c>
      <c r="E167" s="37" t="str">
        <f>IFERROR(INDEX(BudgetApprop_Data[President: % Change from 2019], MATCH(B167, BudgetApprop_Data[CFDA], 0)), "")</f>
        <v/>
      </c>
      <c r="F167" s="36" t="str">
        <f t="shared" si="8"/>
        <v/>
      </c>
      <c r="G167" s="46" t="str">
        <f>IFERROR(INDEX(BudgetApprop_Data[House: % Change from 2019], MATCH(FPWA_HelperTable[[#This Row],[CFDA]], BudgetApprop_Data[CFDA], 0)), "")</f>
        <v/>
      </c>
      <c r="H167" s="36" t="str">
        <f t="shared" si="9"/>
        <v/>
      </c>
      <c r="I167" s="35" t="str">
        <f>IF(B167 = "", "", IF(FPWA_HelperTable[[#This Row],[President $ Change]]&lt;&gt;"", RANK(F167, $F$6:$F$262)+COUNTIF($F$6:F167, F167)-1, 0))</f>
        <v/>
      </c>
      <c r="J167" s="35" t="str">
        <f>IFERROR((IF(I167= 0, COUNTIF($I$6:I167, 0), "")+MAX($I$6:$I$262)), "")</f>
        <v/>
      </c>
      <c r="K167" s="35" t="str">
        <f t="shared" si="10"/>
        <v/>
      </c>
      <c r="N167" s="34">
        <v>162</v>
      </c>
      <c r="O167" s="33" t="str">
        <f t="shared" si="11"/>
        <v/>
      </c>
    </row>
    <row r="168" spans="2:15" x14ac:dyDescent="0.25">
      <c r="B168" s="35" t="str">
        <f>IF(Control!$O171="","",INDEX(MemberOrg_Data[CFDA], Control!$O171))</f>
        <v/>
      </c>
      <c r="C168" s="35" t="str">
        <f t="array" ref="C168">IFERROR(INDEX(MemberOrg_Data[FEDERALPROGRAMNAME], MATCH(1, (SelectMemberOrg = MemberOrg_Data[Auditee Name])*(B168 = MemberOrg_Data[CFDA]), 0)), "")</f>
        <v/>
      </c>
      <c r="D168" s="36" t="str">
        <f>IFERROR(IF(B168 &lt;&gt; "", SUMIFS(MemberOrg_Data[Total Amount], MemberOrg_Data[Auditee Name], SelectMemberOrg, MemberOrg_Data[CFDA], B168), ""), "")</f>
        <v/>
      </c>
      <c r="E168" s="37" t="str">
        <f>IFERROR(INDEX(BudgetApprop_Data[President: % Change from 2019], MATCH(B168, BudgetApprop_Data[CFDA], 0)), "")</f>
        <v/>
      </c>
      <c r="F168" s="36" t="str">
        <f t="shared" si="8"/>
        <v/>
      </c>
      <c r="G168" s="46" t="str">
        <f>IFERROR(INDEX(BudgetApprop_Data[House: % Change from 2019], MATCH(FPWA_HelperTable[[#This Row],[CFDA]], BudgetApprop_Data[CFDA], 0)), "")</f>
        <v/>
      </c>
      <c r="H168" s="36" t="str">
        <f t="shared" si="9"/>
        <v/>
      </c>
      <c r="I168" s="35" t="str">
        <f>IF(B168 = "", "", IF(FPWA_HelperTable[[#This Row],[President $ Change]]&lt;&gt;"", RANK(F168, $F$6:$F$262)+COUNTIF($F$6:F168, F168)-1, 0))</f>
        <v/>
      </c>
      <c r="J168" s="35" t="str">
        <f>IFERROR((IF(I168= 0, COUNTIF($I$6:I168, 0), "")+MAX($I$6:$I$262)), "")</f>
        <v/>
      </c>
      <c r="K168" s="35" t="str">
        <f t="shared" si="10"/>
        <v/>
      </c>
      <c r="N168" s="34">
        <v>163</v>
      </c>
      <c r="O168" s="33" t="str">
        <f t="shared" si="11"/>
        <v/>
      </c>
    </row>
    <row r="169" spans="2:15" x14ac:dyDescent="0.25">
      <c r="B169" s="35" t="str">
        <f>IF(Control!$O172="","",INDEX(MemberOrg_Data[CFDA], Control!$O172))</f>
        <v/>
      </c>
      <c r="C169" s="35" t="str">
        <f t="array" ref="C169">IFERROR(INDEX(MemberOrg_Data[FEDERALPROGRAMNAME], MATCH(1, (SelectMemberOrg = MemberOrg_Data[Auditee Name])*(B169 = MemberOrg_Data[CFDA]), 0)), "")</f>
        <v/>
      </c>
      <c r="D169" s="36" t="str">
        <f>IFERROR(IF(B169 &lt;&gt; "", SUMIFS(MemberOrg_Data[Total Amount], MemberOrg_Data[Auditee Name], SelectMemberOrg, MemberOrg_Data[CFDA], B169), ""), "")</f>
        <v/>
      </c>
      <c r="E169" s="37" t="str">
        <f>IFERROR(INDEX(BudgetApprop_Data[President: % Change from 2019], MATCH(B169, BudgetApprop_Data[CFDA], 0)), "")</f>
        <v/>
      </c>
      <c r="F169" s="36" t="str">
        <f t="shared" si="8"/>
        <v/>
      </c>
      <c r="G169" s="46" t="str">
        <f>IFERROR(INDEX(BudgetApprop_Data[House: % Change from 2019], MATCH(FPWA_HelperTable[[#This Row],[CFDA]], BudgetApprop_Data[CFDA], 0)), "")</f>
        <v/>
      </c>
      <c r="H169" s="36" t="str">
        <f t="shared" si="9"/>
        <v/>
      </c>
      <c r="I169" s="35" t="str">
        <f>IF(B169 = "", "", IF(FPWA_HelperTable[[#This Row],[President $ Change]]&lt;&gt;"", RANK(F169, $F$6:$F$262)+COUNTIF($F$6:F169, F169)-1, 0))</f>
        <v/>
      </c>
      <c r="J169" s="35" t="str">
        <f>IFERROR((IF(I169= 0, COUNTIF($I$6:I169, 0), "")+MAX($I$6:$I$262)), "")</f>
        <v/>
      </c>
      <c r="K169" s="35" t="str">
        <f t="shared" si="10"/>
        <v/>
      </c>
      <c r="N169" s="34">
        <v>164</v>
      </c>
      <c r="O169" s="33" t="str">
        <f t="shared" si="11"/>
        <v/>
      </c>
    </row>
    <row r="170" spans="2:15" x14ac:dyDescent="0.25">
      <c r="B170" s="35" t="str">
        <f>IF(Control!$O173="","",INDEX(MemberOrg_Data[CFDA], Control!$O173))</f>
        <v/>
      </c>
      <c r="C170" s="35" t="str">
        <f t="array" ref="C170">IFERROR(INDEX(MemberOrg_Data[FEDERALPROGRAMNAME], MATCH(1, (SelectMemberOrg = MemberOrg_Data[Auditee Name])*(B170 = MemberOrg_Data[CFDA]), 0)), "")</f>
        <v/>
      </c>
      <c r="D170" s="36" t="str">
        <f>IFERROR(IF(B170 &lt;&gt; "", SUMIFS(MemberOrg_Data[Total Amount], MemberOrg_Data[Auditee Name], SelectMemberOrg, MemberOrg_Data[CFDA], B170), ""), "")</f>
        <v/>
      </c>
      <c r="E170" s="37" t="str">
        <f>IFERROR(INDEX(BudgetApprop_Data[President: % Change from 2019], MATCH(B170, BudgetApprop_Data[CFDA], 0)), "")</f>
        <v/>
      </c>
      <c r="F170" s="36" t="str">
        <f t="shared" si="8"/>
        <v/>
      </c>
      <c r="G170" s="46" t="str">
        <f>IFERROR(INDEX(BudgetApprop_Data[House: % Change from 2019], MATCH(FPWA_HelperTable[[#This Row],[CFDA]], BudgetApprop_Data[CFDA], 0)), "")</f>
        <v/>
      </c>
      <c r="H170" s="36" t="str">
        <f t="shared" si="9"/>
        <v/>
      </c>
      <c r="I170" s="35" t="str">
        <f>IF(B170 = "", "", IF(FPWA_HelperTable[[#This Row],[President $ Change]]&lt;&gt;"", RANK(F170, $F$6:$F$262)+COUNTIF($F$6:F170, F170)-1, 0))</f>
        <v/>
      </c>
      <c r="J170" s="35" t="str">
        <f>IFERROR((IF(I170= 0, COUNTIF($I$6:I170, 0), "")+MAX($I$6:$I$262)), "")</f>
        <v/>
      </c>
      <c r="K170" s="35" t="str">
        <f t="shared" si="10"/>
        <v/>
      </c>
      <c r="N170" s="34">
        <v>165</v>
      </c>
      <c r="O170" s="33" t="str">
        <f t="shared" si="11"/>
        <v/>
      </c>
    </row>
    <row r="171" spans="2:15" x14ac:dyDescent="0.25">
      <c r="B171" s="35" t="str">
        <f>IF(Control!$O174="","",INDEX(MemberOrg_Data[CFDA], Control!$O174))</f>
        <v/>
      </c>
      <c r="C171" s="35" t="str">
        <f t="array" ref="C171">IFERROR(INDEX(MemberOrg_Data[FEDERALPROGRAMNAME], MATCH(1, (SelectMemberOrg = MemberOrg_Data[Auditee Name])*(B171 = MemberOrg_Data[CFDA]), 0)), "")</f>
        <v/>
      </c>
      <c r="D171" s="36" t="str">
        <f>IFERROR(IF(B171 &lt;&gt; "", SUMIFS(MemberOrg_Data[Total Amount], MemberOrg_Data[Auditee Name], SelectMemberOrg, MemberOrg_Data[CFDA], B171), ""), "")</f>
        <v/>
      </c>
      <c r="E171" s="37" t="str">
        <f>IFERROR(INDEX(BudgetApprop_Data[President: % Change from 2019], MATCH(B171, BudgetApprop_Data[CFDA], 0)), "")</f>
        <v/>
      </c>
      <c r="F171" s="36" t="str">
        <f t="shared" si="8"/>
        <v/>
      </c>
      <c r="G171" s="46" t="str">
        <f>IFERROR(INDEX(BudgetApprop_Data[House: % Change from 2019], MATCH(FPWA_HelperTable[[#This Row],[CFDA]], BudgetApprop_Data[CFDA], 0)), "")</f>
        <v/>
      </c>
      <c r="H171" s="36" t="str">
        <f t="shared" si="9"/>
        <v/>
      </c>
      <c r="I171" s="35" t="str">
        <f>IF(B171 = "", "", IF(FPWA_HelperTable[[#This Row],[President $ Change]]&lt;&gt;"", RANK(F171, $F$6:$F$262)+COUNTIF($F$6:F171, F171)-1, 0))</f>
        <v/>
      </c>
      <c r="J171" s="35" t="str">
        <f>IFERROR((IF(I171= 0, COUNTIF($I$6:I171, 0), "")+MAX($I$6:$I$262)), "")</f>
        <v/>
      </c>
      <c r="K171" s="35" t="str">
        <f t="shared" si="10"/>
        <v/>
      </c>
      <c r="N171" s="34">
        <v>166</v>
      </c>
      <c r="O171" s="33" t="str">
        <f t="shared" si="11"/>
        <v/>
      </c>
    </row>
    <row r="172" spans="2:15" x14ac:dyDescent="0.25">
      <c r="B172" s="35" t="str">
        <f>IF(Control!$O175="","",INDEX(MemberOrg_Data[CFDA], Control!$O175))</f>
        <v/>
      </c>
      <c r="C172" s="35" t="str">
        <f t="array" ref="C172">IFERROR(INDEX(MemberOrg_Data[FEDERALPROGRAMNAME], MATCH(1, (SelectMemberOrg = MemberOrg_Data[Auditee Name])*(B172 = MemberOrg_Data[CFDA]), 0)), "")</f>
        <v/>
      </c>
      <c r="D172" s="36" t="str">
        <f>IFERROR(IF(B172 &lt;&gt; "", SUMIFS(MemberOrg_Data[Total Amount], MemberOrg_Data[Auditee Name], SelectMemberOrg, MemberOrg_Data[CFDA], B172), ""), "")</f>
        <v/>
      </c>
      <c r="E172" s="37" t="str">
        <f>IFERROR(INDEX(BudgetApprop_Data[President: % Change from 2019], MATCH(B172, BudgetApprop_Data[CFDA], 0)), "")</f>
        <v/>
      </c>
      <c r="F172" s="36" t="str">
        <f t="shared" si="8"/>
        <v/>
      </c>
      <c r="G172" s="46" t="str">
        <f>IFERROR(INDEX(BudgetApprop_Data[House: % Change from 2019], MATCH(FPWA_HelperTable[[#This Row],[CFDA]], BudgetApprop_Data[CFDA], 0)), "")</f>
        <v/>
      </c>
      <c r="H172" s="36" t="str">
        <f t="shared" si="9"/>
        <v/>
      </c>
      <c r="I172" s="35" t="str">
        <f>IF(B172 = "", "", IF(FPWA_HelperTable[[#This Row],[President $ Change]]&lt;&gt;"", RANK(F172, $F$6:$F$262)+COUNTIF($F$6:F172, F172)-1, 0))</f>
        <v/>
      </c>
      <c r="J172" s="35" t="str">
        <f>IFERROR((IF(I172= 0, COUNTIF($I$6:I172, 0), "")+MAX($I$6:$I$262)), "")</f>
        <v/>
      </c>
      <c r="K172" s="35" t="str">
        <f t="shared" si="10"/>
        <v/>
      </c>
      <c r="N172" s="34">
        <v>167</v>
      </c>
      <c r="O172" s="33" t="str">
        <f t="shared" si="11"/>
        <v/>
      </c>
    </row>
    <row r="173" spans="2:15" x14ac:dyDescent="0.25">
      <c r="B173" s="35" t="str">
        <f>IF(Control!$O176="","",INDEX(MemberOrg_Data[CFDA], Control!$O176))</f>
        <v/>
      </c>
      <c r="C173" s="35" t="str">
        <f t="array" ref="C173">IFERROR(INDEX(MemberOrg_Data[FEDERALPROGRAMNAME], MATCH(1, (SelectMemberOrg = MemberOrg_Data[Auditee Name])*(B173 = MemberOrg_Data[CFDA]), 0)), "")</f>
        <v/>
      </c>
      <c r="D173" s="36" t="str">
        <f>IFERROR(IF(B173 &lt;&gt; "", SUMIFS(MemberOrg_Data[Total Amount], MemberOrg_Data[Auditee Name], SelectMemberOrg, MemberOrg_Data[CFDA], B173), ""), "")</f>
        <v/>
      </c>
      <c r="E173" s="37" t="str">
        <f>IFERROR(INDEX(BudgetApprop_Data[President: % Change from 2019], MATCH(B173, BudgetApprop_Data[CFDA], 0)), "")</f>
        <v/>
      </c>
      <c r="F173" s="36" t="str">
        <f t="shared" si="8"/>
        <v/>
      </c>
      <c r="G173" s="46" t="str">
        <f>IFERROR(INDEX(BudgetApprop_Data[House: % Change from 2019], MATCH(FPWA_HelperTable[[#This Row],[CFDA]], BudgetApprop_Data[CFDA], 0)), "")</f>
        <v/>
      </c>
      <c r="H173" s="36" t="str">
        <f t="shared" si="9"/>
        <v/>
      </c>
      <c r="I173" s="35" t="str">
        <f>IF(B173 = "", "", IF(FPWA_HelperTable[[#This Row],[President $ Change]]&lt;&gt;"", RANK(F173, $F$6:$F$262)+COUNTIF($F$6:F173, F173)-1, 0))</f>
        <v/>
      </c>
      <c r="J173" s="35" t="str">
        <f>IFERROR((IF(I173= 0, COUNTIF($I$6:I173, 0), "")+MAX($I$6:$I$262)), "")</f>
        <v/>
      </c>
      <c r="K173" s="35" t="str">
        <f t="shared" si="10"/>
        <v/>
      </c>
      <c r="N173" s="34">
        <v>168</v>
      </c>
      <c r="O173" s="33" t="str">
        <f t="shared" si="11"/>
        <v/>
      </c>
    </row>
    <row r="174" spans="2:15" x14ac:dyDescent="0.25">
      <c r="B174" s="35" t="str">
        <f>IF(Control!$O177="","",INDEX(MemberOrg_Data[CFDA], Control!$O177))</f>
        <v/>
      </c>
      <c r="C174" s="35" t="str">
        <f t="array" ref="C174">IFERROR(INDEX(MemberOrg_Data[FEDERALPROGRAMNAME], MATCH(1, (SelectMemberOrg = MemberOrg_Data[Auditee Name])*(B174 = MemberOrg_Data[CFDA]), 0)), "")</f>
        <v/>
      </c>
      <c r="D174" s="36" t="str">
        <f>IFERROR(IF(B174 &lt;&gt; "", SUMIFS(MemberOrg_Data[Total Amount], MemberOrg_Data[Auditee Name], SelectMemberOrg, MemberOrg_Data[CFDA], B174), ""), "")</f>
        <v/>
      </c>
      <c r="E174" s="37" t="str">
        <f>IFERROR(INDEX(BudgetApprop_Data[President: % Change from 2019], MATCH(B174, BudgetApprop_Data[CFDA], 0)), "")</f>
        <v/>
      </c>
      <c r="F174" s="36" t="str">
        <f t="shared" si="8"/>
        <v/>
      </c>
      <c r="G174" s="46" t="str">
        <f>IFERROR(INDEX(BudgetApprop_Data[House: % Change from 2019], MATCH(FPWA_HelperTable[[#This Row],[CFDA]], BudgetApprop_Data[CFDA], 0)), "")</f>
        <v/>
      </c>
      <c r="H174" s="36" t="str">
        <f t="shared" si="9"/>
        <v/>
      </c>
      <c r="I174" s="35" t="str">
        <f>IF(B174 = "", "", IF(FPWA_HelperTable[[#This Row],[President $ Change]]&lt;&gt;"", RANK(F174, $F$6:$F$262)+COUNTIF($F$6:F174, F174)-1, 0))</f>
        <v/>
      </c>
      <c r="J174" s="35" t="str">
        <f>IFERROR((IF(I174= 0, COUNTIF($I$6:I174, 0), "")+MAX($I$6:$I$262)), "")</f>
        <v/>
      </c>
      <c r="K174" s="35" t="str">
        <f t="shared" si="10"/>
        <v/>
      </c>
      <c r="N174" s="34">
        <v>169</v>
      </c>
      <c r="O174" s="33" t="str">
        <f t="shared" si="11"/>
        <v/>
      </c>
    </row>
    <row r="175" spans="2:15" x14ac:dyDescent="0.25">
      <c r="B175" s="35" t="str">
        <f>IF(Control!$O178="","",INDEX(MemberOrg_Data[CFDA], Control!$O178))</f>
        <v/>
      </c>
      <c r="C175" s="35" t="str">
        <f t="array" ref="C175">IFERROR(INDEX(MemberOrg_Data[FEDERALPROGRAMNAME], MATCH(1, (SelectMemberOrg = MemberOrg_Data[Auditee Name])*(B175 = MemberOrg_Data[CFDA]), 0)), "")</f>
        <v/>
      </c>
      <c r="D175" s="36" t="str">
        <f>IFERROR(IF(B175 &lt;&gt; "", SUMIFS(MemberOrg_Data[Total Amount], MemberOrg_Data[Auditee Name], SelectMemberOrg, MemberOrg_Data[CFDA], B175), ""), "")</f>
        <v/>
      </c>
      <c r="E175" s="37" t="str">
        <f>IFERROR(INDEX(BudgetApprop_Data[President: % Change from 2019], MATCH(B175, BudgetApprop_Data[CFDA], 0)), "")</f>
        <v/>
      </c>
      <c r="F175" s="36" t="str">
        <f t="shared" si="8"/>
        <v/>
      </c>
      <c r="G175" s="46" t="str">
        <f>IFERROR(INDEX(BudgetApprop_Data[House: % Change from 2019], MATCH(FPWA_HelperTable[[#This Row],[CFDA]], BudgetApprop_Data[CFDA], 0)), "")</f>
        <v/>
      </c>
      <c r="H175" s="36" t="str">
        <f t="shared" si="9"/>
        <v/>
      </c>
      <c r="I175" s="35" t="str">
        <f>IF(B175 = "", "", IF(FPWA_HelperTable[[#This Row],[President $ Change]]&lt;&gt;"", RANK(F175, $F$6:$F$262)+COUNTIF($F$6:F175, F175)-1, 0))</f>
        <v/>
      </c>
      <c r="J175" s="35" t="str">
        <f>IFERROR((IF(I175= 0, COUNTIF($I$6:I175, 0), "")+MAX($I$6:$I$262)), "")</f>
        <v/>
      </c>
      <c r="K175" s="35" t="str">
        <f t="shared" si="10"/>
        <v/>
      </c>
      <c r="N175" s="34">
        <v>170</v>
      </c>
      <c r="O175" s="33" t="str">
        <f t="shared" si="11"/>
        <v/>
      </c>
    </row>
    <row r="176" spans="2:15" x14ac:dyDescent="0.25">
      <c r="B176" s="35" t="str">
        <f>IF(Control!$O179="","",INDEX(MemberOrg_Data[CFDA], Control!$O179))</f>
        <v/>
      </c>
      <c r="C176" s="35" t="str">
        <f t="array" ref="C176">IFERROR(INDEX(MemberOrg_Data[FEDERALPROGRAMNAME], MATCH(1, (SelectMemberOrg = MemberOrg_Data[Auditee Name])*(B176 = MemberOrg_Data[CFDA]), 0)), "")</f>
        <v/>
      </c>
      <c r="D176" s="36" t="str">
        <f>IFERROR(IF(B176 &lt;&gt; "", SUMIFS(MemberOrg_Data[Total Amount], MemberOrg_Data[Auditee Name], SelectMemberOrg, MemberOrg_Data[CFDA], B176), ""), "")</f>
        <v/>
      </c>
      <c r="E176" s="37" t="str">
        <f>IFERROR(INDEX(BudgetApprop_Data[President: % Change from 2019], MATCH(B176, BudgetApprop_Data[CFDA], 0)), "")</f>
        <v/>
      </c>
      <c r="F176" s="36" t="str">
        <f t="shared" si="8"/>
        <v/>
      </c>
      <c r="G176" s="46" t="str">
        <f>IFERROR(INDEX(BudgetApprop_Data[House: % Change from 2019], MATCH(FPWA_HelperTable[[#This Row],[CFDA]], BudgetApprop_Data[CFDA], 0)), "")</f>
        <v/>
      </c>
      <c r="H176" s="36" t="str">
        <f t="shared" si="9"/>
        <v/>
      </c>
      <c r="I176" s="35" t="str">
        <f>IF(B176 = "", "", IF(FPWA_HelperTable[[#This Row],[President $ Change]]&lt;&gt;"", RANK(F176, $F$6:$F$262)+COUNTIF($F$6:F176, F176)-1, 0))</f>
        <v/>
      </c>
      <c r="J176" s="35" t="str">
        <f>IFERROR((IF(I176= 0, COUNTIF($I$6:I176, 0), "")+MAX($I$6:$I$262)), "")</f>
        <v/>
      </c>
      <c r="K176" s="35" t="str">
        <f t="shared" si="10"/>
        <v/>
      </c>
      <c r="N176" s="34">
        <v>171</v>
      </c>
      <c r="O176" s="33" t="str">
        <f t="shared" si="11"/>
        <v/>
      </c>
    </row>
    <row r="177" spans="2:15" x14ac:dyDescent="0.25">
      <c r="B177" s="35" t="str">
        <f>IF(Control!$O180="","",INDEX(MemberOrg_Data[CFDA], Control!$O180))</f>
        <v/>
      </c>
      <c r="C177" s="35" t="str">
        <f t="array" ref="C177">IFERROR(INDEX(MemberOrg_Data[FEDERALPROGRAMNAME], MATCH(1, (SelectMemberOrg = MemberOrg_Data[Auditee Name])*(B177 = MemberOrg_Data[CFDA]), 0)), "")</f>
        <v/>
      </c>
      <c r="D177" s="36" t="str">
        <f>IFERROR(IF(B177 &lt;&gt; "", SUMIFS(MemberOrg_Data[Total Amount], MemberOrg_Data[Auditee Name], SelectMemberOrg, MemberOrg_Data[CFDA], B177), ""), "")</f>
        <v/>
      </c>
      <c r="E177" s="37" t="str">
        <f>IFERROR(INDEX(BudgetApprop_Data[President: % Change from 2019], MATCH(B177, BudgetApprop_Data[CFDA], 0)), "")</f>
        <v/>
      </c>
      <c r="F177" s="36" t="str">
        <f t="shared" si="8"/>
        <v/>
      </c>
      <c r="G177" s="46" t="str">
        <f>IFERROR(INDEX(BudgetApprop_Data[House: % Change from 2019], MATCH(FPWA_HelperTable[[#This Row],[CFDA]], BudgetApprop_Data[CFDA], 0)), "")</f>
        <v/>
      </c>
      <c r="H177" s="36" t="str">
        <f t="shared" si="9"/>
        <v/>
      </c>
      <c r="I177" s="35" t="str">
        <f>IF(B177 = "", "", IF(FPWA_HelperTable[[#This Row],[President $ Change]]&lt;&gt;"", RANK(F177, $F$6:$F$262)+COUNTIF($F$6:F177, F177)-1, 0))</f>
        <v/>
      </c>
      <c r="J177" s="35" t="str">
        <f>IFERROR((IF(I177= 0, COUNTIF($I$6:I177, 0), "")+MAX($I$6:$I$262)), "")</f>
        <v/>
      </c>
      <c r="K177" s="35" t="str">
        <f t="shared" si="10"/>
        <v/>
      </c>
      <c r="N177" s="34">
        <v>172</v>
      </c>
      <c r="O177" s="33" t="str">
        <f t="shared" si="11"/>
        <v/>
      </c>
    </row>
    <row r="178" spans="2:15" x14ac:dyDescent="0.25">
      <c r="B178" s="35" t="str">
        <f>IF(Control!$O181="","",INDEX(MemberOrg_Data[CFDA], Control!$O181))</f>
        <v/>
      </c>
      <c r="C178" s="35" t="str">
        <f t="array" ref="C178">IFERROR(INDEX(MemberOrg_Data[FEDERALPROGRAMNAME], MATCH(1, (SelectMemberOrg = MemberOrg_Data[Auditee Name])*(B178 = MemberOrg_Data[CFDA]), 0)), "")</f>
        <v/>
      </c>
      <c r="D178" s="36" t="str">
        <f>IFERROR(IF(B178 &lt;&gt; "", SUMIFS(MemberOrg_Data[Total Amount], MemberOrg_Data[Auditee Name], SelectMemberOrg, MemberOrg_Data[CFDA], B178), ""), "")</f>
        <v/>
      </c>
      <c r="E178" s="37" t="str">
        <f>IFERROR(INDEX(BudgetApprop_Data[President: % Change from 2019], MATCH(B178, BudgetApprop_Data[CFDA], 0)), "")</f>
        <v/>
      </c>
      <c r="F178" s="36" t="str">
        <f t="shared" si="8"/>
        <v/>
      </c>
      <c r="G178" s="46" t="str">
        <f>IFERROR(INDEX(BudgetApprop_Data[House: % Change from 2019], MATCH(FPWA_HelperTable[[#This Row],[CFDA]], BudgetApprop_Data[CFDA], 0)), "")</f>
        <v/>
      </c>
      <c r="H178" s="36" t="str">
        <f t="shared" si="9"/>
        <v/>
      </c>
      <c r="I178" s="35" t="str">
        <f>IF(B178 = "", "", IF(FPWA_HelperTable[[#This Row],[President $ Change]]&lt;&gt;"", RANK(F178, $F$6:$F$262)+COUNTIF($F$6:F178, F178)-1, 0))</f>
        <v/>
      </c>
      <c r="J178" s="35" t="str">
        <f>IFERROR((IF(I178= 0, COUNTIF($I$6:I178, 0), "")+MAX($I$6:$I$262)), "")</f>
        <v/>
      </c>
      <c r="K178" s="35" t="str">
        <f t="shared" si="10"/>
        <v/>
      </c>
      <c r="N178" s="34">
        <v>173</v>
      </c>
      <c r="O178" s="33" t="str">
        <f t="shared" si="11"/>
        <v/>
      </c>
    </row>
    <row r="179" spans="2:15" x14ac:dyDescent="0.25">
      <c r="B179" s="35" t="str">
        <f>IF(Control!$O182="","",INDEX(MemberOrg_Data[CFDA], Control!$O182))</f>
        <v/>
      </c>
      <c r="C179" s="35" t="str">
        <f t="array" ref="C179">IFERROR(INDEX(MemberOrg_Data[FEDERALPROGRAMNAME], MATCH(1, (SelectMemberOrg = MemberOrg_Data[Auditee Name])*(B179 = MemberOrg_Data[CFDA]), 0)), "")</f>
        <v/>
      </c>
      <c r="D179" s="36" t="str">
        <f>IFERROR(IF(B179 &lt;&gt; "", SUMIFS(MemberOrg_Data[Total Amount], MemberOrg_Data[Auditee Name], SelectMemberOrg, MemberOrg_Data[CFDA], B179), ""), "")</f>
        <v/>
      </c>
      <c r="E179" s="37" t="str">
        <f>IFERROR(INDEX(BudgetApprop_Data[President: % Change from 2019], MATCH(B179, BudgetApprop_Data[CFDA], 0)), "")</f>
        <v/>
      </c>
      <c r="F179" s="36" t="str">
        <f t="shared" si="8"/>
        <v/>
      </c>
      <c r="G179" s="46" t="str">
        <f>IFERROR(INDEX(BudgetApprop_Data[House: % Change from 2019], MATCH(FPWA_HelperTable[[#This Row],[CFDA]], BudgetApprop_Data[CFDA], 0)), "")</f>
        <v/>
      </c>
      <c r="H179" s="36" t="str">
        <f t="shared" si="9"/>
        <v/>
      </c>
      <c r="I179" s="35" t="str">
        <f>IF(B179 = "", "", IF(FPWA_HelperTable[[#This Row],[President $ Change]]&lt;&gt;"", RANK(F179, $F$6:$F$262)+COUNTIF($F$6:F179, F179)-1, 0))</f>
        <v/>
      </c>
      <c r="J179" s="35" t="str">
        <f>IFERROR((IF(I179= 0, COUNTIF($I$6:I179, 0), "")+MAX($I$6:$I$262)), "")</f>
        <v/>
      </c>
      <c r="K179" s="35" t="str">
        <f t="shared" si="10"/>
        <v/>
      </c>
      <c r="N179" s="34">
        <v>174</v>
      </c>
      <c r="O179" s="33" t="str">
        <f t="shared" si="11"/>
        <v/>
      </c>
    </row>
    <row r="180" spans="2:15" x14ac:dyDescent="0.25">
      <c r="B180" s="35" t="str">
        <f>IF(Control!$O183="","",INDEX(MemberOrg_Data[CFDA], Control!$O183))</f>
        <v/>
      </c>
      <c r="C180" s="35" t="str">
        <f t="array" ref="C180">IFERROR(INDEX(MemberOrg_Data[FEDERALPROGRAMNAME], MATCH(1, (SelectMemberOrg = MemberOrg_Data[Auditee Name])*(B180 = MemberOrg_Data[CFDA]), 0)), "")</f>
        <v/>
      </c>
      <c r="D180" s="36" t="str">
        <f>IFERROR(IF(B180 &lt;&gt; "", SUMIFS(MemberOrg_Data[Total Amount], MemberOrg_Data[Auditee Name], SelectMemberOrg, MemberOrg_Data[CFDA], B180), ""), "")</f>
        <v/>
      </c>
      <c r="E180" s="37" t="str">
        <f>IFERROR(INDEX(BudgetApprop_Data[President: % Change from 2019], MATCH(B180, BudgetApprop_Data[CFDA], 0)), "")</f>
        <v/>
      </c>
      <c r="F180" s="36" t="str">
        <f t="shared" si="8"/>
        <v/>
      </c>
      <c r="G180" s="46" t="str">
        <f>IFERROR(INDEX(BudgetApprop_Data[House: % Change from 2019], MATCH(FPWA_HelperTable[[#This Row],[CFDA]], BudgetApprop_Data[CFDA], 0)), "")</f>
        <v/>
      </c>
      <c r="H180" s="36" t="str">
        <f t="shared" si="9"/>
        <v/>
      </c>
      <c r="I180" s="35" t="str">
        <f>IF(B180 = "", "", IF(FPWA_HelperTable[[#This Row],[President $ Change]]&lt;&gt;"", RANK(F180, $F$6:$F$262)+COUNTIF($F$6:F180, F180)-1, 0))</f>
        <v/>
      </c>
      <c r="J180" s="35" t="str">
        <f>IFERROR((IF(I180= 0, COUNTIF($I$6:I180, 0), "")+MAX($I$6:$I$262)), "")</f>
        <v/>
      </c>
      <c r="K180" s="35" t="str">
        <f t="shared" si="10"/>
        <v/>
      </c>
      <c r="N180" s="34">
        <v>175</v>
      </c>
      <c r="O180" s="33" t="str">
        <f t="shared" si="11"/>
        <v/>
      </c>
    </row>
    <row r="181" spans="2:15" x14ac:dyDescent="0.25">
      <c r="B181" s="35" t="str">
        <f>IF(Control!$O184="","",INDEX(MemberOrg_Data[CFDA], Control!$O184))</f>
        <v/>
      </c>
      <c r="C181" s="35" t="str">
        <f t="array" ref="C181">IFERROR(INDEX(MemberOrg_Data[FEDERALPROGRAMNAME], MATCH(1, (SelectMemberOrg = MemberOrg_Data[Auditee Name])*(B181 = MemberOrg_Data[CFDA]), 0)), "")</f>
        <v/>
      </c>
      <c r="D181" s="36" t="str">
        <f>IFERROR(IF(B181 &lt;&gt; "", SUMIFS(MemberOrg_Data[Total Amount], MemberOrg_Data[Auditee Name], SelectMemberOrg, MemberOrg_Data[CFDA], B181), ""), "")</f>
        <v/>
      </c>
      <c r="E181" s="37" t="str">
        <f>IFERROR(INDEX(BudgetApprop_Data[President: % Change from 2019], MATCH(B181, BudgetApprop_Data[CFDA], 0)), "")</f>
        <v/>
      </c>
      <c r="F181" s="36" t="str">
        <f t="shared" si="8"/>
        <v/>
      </c>
      <c r="G181" s="46" t="str">
        <f>IFERROR(INDEX(BudgetApprop_Data[House: % Change from 2019], MATCH(FPWA_HelperTable[[#This Row],[CFDA]], BudgetApprop_Data[CFDA], 0)), "")</f>
        <v/>
      </c>
      <c r="H181" s="36" t="str">
        <f t="shared" si="9"/>
        <v/>
      </c>
      <c r="I181" s="35" t="str">
        <f>IF(B181 = "", "", IF(FPWA_HelperTable[[#This Row],[President $ Change]]&lt;&gt;"", RANK(F181, $F$6:$F$262)+COUNTIF($F$6:F181, F181)-1, 0))</f>
        <v/>
      </c>
      <c r="J181" s="35" t="str">
        <f>IFERROR((IF(I181= 0, COUNTIF($I$6:I181, 0), "")+MAX($I$6:$I$262)), "")</f>
        <v/>
      </c>
      <c r="K181" s="35" t="str">
        <f t="shared" si="10"/>
        <v/>
      </c>
      <c r="N181" s="34">
        <v>176</v>
      </c>
      <c r="O181" s="33" t="str">
        <f t="shared" si="11"/>
        <v/>
      </c>
    </row>
    <row r="182" spans="2:15" x14ac:dyDescent="0.25">
      <c r="B182" s="35" t="str">
        <f>IF(Control!$O185="","",INDEX(MemberOrg_Data[CFDA], Control!$O185))</f>
        <v/>
      </c>
      <c r="C182" s="35" t="str">
        <f t="array" ref="C182">IFERROR(INDEX(MemberOrg_Data[FEDERALPROGRAMNAME], MATCH(1, (SelectMemberOrg = MemberOrg_Data[Auditee Name])*(B182 = MemberOrg_Data[CFDA]), 0)), "")</f>
        <v/>
      </c>
      <c r="D182" s="36" t="str">
        <f>IFERROR(IF(B182 &lt;&gt; "", SUMIFS(MemberOrg_Data[Total Amount], MemberOrg_Data[Auditee Name], SelectMemberOrg, MemberOrg_Data[CFDA], B182), ""), "")</f>
        <v/>
      </c>
      <c r="E182" s="37" t="str">
        <f>IFERROR(INDEX(BudgetApprop_Data[President: % Change from 2019], MATCH(B182, BudgetApprop_Data[CFDA], 0)), "")</f>
        <v/>
      </c>
      <c r="F182" s="36" t="str">
        <f t="shared" si="8"/>
        <v/>
      </c>
      <c r="G182" s="46" t="str">
        <f>IFERROR(INDEX(BudgetApprop_Data[House: % Change from 2019], MATCH(FPWA_HelperTable[[#This Row],[CFDA]], BudgetApprop_Data[CFDA], 0)), "")</f>
        <v/>
      </c>
      <c r="H182" s="36" t="str">
        <f t="shared" si="9"/>
        <v/>
      </c>
      <c r="I182" s="35" t="str">
        <f>IF(B182 = "", "", IF(FPWA_HelperTable[[#This Row],[President $ Change]]&lt;&gt;"", RANK(F182, $F$6:$F$262)+COUNTIF($F$6:F182, F182)-1, 0))</f>
        <v/>
      </c>
      <c r="J182" s="35" t="str">
        <f>IFERROR((IF(I182= 0, COUNTIF($I$6:I182, 0), "")+MAX($I$6:$I$262)), "")</f>
        <v/>
      </c>
      <c r="K182" s="35" t="str">
        <f t="shared" si="10"/>
        <v/>
      </c>
      <c r="N182" s="34">
        <v>177</v>
      </c>
      <c r="O182" s="33" t="str">
        <f t="shared" si="11"/>
        <v/>
      </c>
    </row>
    <row r="183" spans="2:15" x14ac:dyDescent="0.25">
      <c r="B183" s="35" t="str">
        <f>IF(Control!$O186="","",INDEX(MemberOrg_Data[CFDA], Control!$O186))</f>
        <v/>
      </c>
      <c r="C183" s="35" t="str">
        <f t="array" ref="C183">IFERROR(INDEX(MemberOrg_Data[FEDERALPROGRAMNAME], MATCH(1, (SelectMemberOrg = MemberOrg_Data[Auditee Name])*(B183 = MemberOrg_Data[CFDA]), 0)), "")</f>
        <v/>
      </c>
      <c r="D183" s="36" t="str">
        <f>IFERROR(IF(B183 &lt;&gt; "", SUMIFS(MemberOrg_Data[Total Amount], MemberOrg_Data[Auditee Name], SelectMemberOrg, MemberOrg_Data[CFDA], B183), ""), "")</f>
        <v/>
      </c>
      <c r="E183" s="37" t="str">
        <f>IFERROR(INDEX(BudgetApprop_Data[President: % Change from 2019], MATCH(B183, BudgetApprop_Data[CFDA], 0)), "")</f>
        <v/>
      </c>
      <c r="F183" s="36" t="str">
        <f t="shared" si="8"/>
        <v/>
      </c>
      <c r="G183" s="46" t="str">
        <f>IFERROR(INDEX(BudgetApprop_Data[House: % Change from 2019], MATCH(FPWA_HelperTable[[#This Row],[CFDA]], BudgetApprop_Data[CFDA], 0)), "")</f>
        <v/>
      </c>
      <c r="H183" s="36" t="str">
        <f t="shared" si="9"/>
        <v/>
      </c>
      <c r="I183" s="35" t="str">
        <f>IF(B183 = "", "", IF(FPWA_HelperTable[[#This Row],[President $ Change]]&lt;&gt;"", RANK(F183, $F$6:$F$262)+COUNTIF($F$6:F183, F183)-1, 0))</f>
        <v/>
      </c>
      <c r="J183" s="35" t="str">
        <f>IFERROR((IF(I183= 0, COUNTIF($I$6:I183, 0), "")+MAX($I$6:$I$262)), "")</f>
        <v/>
      </c>
      <c r="K183" s="35" t="str">
        <f t="shared" si="10"/>
        <v/>
      </c>
      <c r="N183" s="34">
        <v>178</v>
      </c>
      <c r="O183" s="33" t="str">
        <f t="shared" si="11"/>
        <v/>
      </c>
    </row>
    <row r="184" spans="2:15" x14ac:dyDescent="0.25">
      <c r="B184" s="35" t="str">
        <f>IF(Control!$O187="","",INDEX(MemberOrg_Data[CFDA], Control!$O187))</f>
        <v/>
      </c>
      <c r="C184" s="35" t="str">
        <f t="array" ref="C184">IFERROR(INDEX(MemberOrg_Data[FEDERALPROGRAMNAME], MATCH(1, (SelectMemberOrg = MemberOrg_Data[Auditee Name])*(B184 = MemberOrg_Data[CFDA]), 0)), "")</f>
        <v/>
      </c>
      <c r="D184" s="36" t="str">
        <f>IFERROR(IF(B184 &lt;&gt; "", SUMIFS(MemberOrg_Data[Total Amount], MemberOrg_Data[Auditee Name], SelectMemberOrg, MemberOrg_Data[CFDA], B184), ""), "")</f>
        <v/>
      </c>
      <c r="E184" s="37" t="str">
        <f>IFERROR(INDEX(BudgetApprop_Data[President: % Change from 2019], MATCH(B184, BudgetApprop_Data[CFDA], 0)), "")</f>
        <v/>
      </c>
      <c r="F184" s="36" t="str">
        <f t="shared" si="8"/>
        <v/>
      </c>
      <c r="G184" s="46" t="str">
        <f>IFERROR(INDEX(BudgetApprop_Data[House: % Change from 2019], MATCH(FPWA_HelperTable[[#This Row],[CFDA]], BudgetApprop_Data[CFDA], 0)), "")</f>
        <v/>
      </c>
      <c r="H184" s="36" t="str">
        <f t="shared" si="9"/>
        <v/>
      </c>
      <c r="I184" s="35" t="str">
        <f>IF(B184 = "", "", IF(FPWA_HelperTable[[#This Row],[President $ Change]]&lt;&gt;"", RANK(F184, $F$6:$F$262)+COUNTIF($F$6:F184, F184)-1, 0))</f>
        <v/>
      </c>
      <c r="J184" s="35" t="str">
        <f>IFERROR((IF(I184= 0, COUNTIF($I$6:I184, 0), "")+MAX($I$6:$I$262)), "")</f>
        <v/>
      </c>
      <c r="K184" s="35" t="str">
        <f t="shared" si="10"/>
        <v/>
      </c>
      <c r="N184" s="34">
        <v>179</v>
      </c>
      <c r="O184" s="33" t="str">
        <f t="shared" si="11"/>
        <v/>
      </c>
    </row>
    <row r="185" spans="2:15" x14ac:dyDescent="0.25">
      <c r="B185" s="35" t="str">
        <f>IF(Control!$O188="","",INDEX(MemberOrg_Data[CFDA], Control!$O188))</f>
        <v/>
      </c>
      <c r="C185" s="35" t="str">
        <f t="array" ref="C185">IFERROR(INDEX(MemberOrg_Data[FEDERALPROGRAMNAME], MATCH(1, (SelectMemberOrg = MemberOrg_Data[Auditee Name])*(B185 = MemberOrg_Data[CFDA]), 0)), "")</f>
        <v/>
      </c>
      <c r="D185" s="36" t="str">
        <f>IFERROR(IF(B185 &lt;&gt; "", SUMIFS(MemberOrg_Data[Total Amount], MemberOrg_Data[Auditee Name], SelectMemberOrg, MemberOrg_Data[CFDA], B185), ""), "")</f>
        <v/>
      </c>
      <c r="E185" s="37" t="str">
        <f>IFERROR(INDEX(BudgetApprop_Data[President: % Change from 2019], MATCH(B185, BudgetApprop_Data[CFDA], 0)), "")</f>
        <v/>
      </c>
      <c r="F185" s="36" t="str">
        <f t="shared" si="8"/>
        <v/>
      </c>
      <c r="G185" s="46" t="str">
        <f>IFERROR(INDEX(BudgetApprop_Data[House: % Change from 2019], MATCH(FPWA_HelperTable[[#This Row],[CFDA]], BudgetApprop_Data[CFDA], 0)), "")</f>
        <v/>
      </c>
      <c r="H185" s="36" t="str">
        <f t="shared" si="9"/>
        <v/>
      </c>
      <c r="I185" s="35" t="str">
        <f>IF(B185 = "", "", IF(FPWA_HelperTable[[#This Row],[President $ Change]]&lt;&gt;"", RANK(F185, $F$6:$F$262)+COUNTIF($F$6:F185, F185)-1, 0))</f>
        <v/>
      </c>
      <c r="J185" s="35" t="str">
        <f>IFERROR((IF(I185= 0, COUNTIF($I$6:I185, 0), "")+MAX($I$6:$I$262)), "")</f>
        <v/>
      </c>
      <c r="K185" s="35" t="str">
        <f t="shared" si="10"/>
        <v/>
      </c>
      <c r="N185" s="34">
        <v>180</v>
      </c>
      <c r="O185" s="33" t="str">
        <f t="shared" si="11"/>
        <v/>
      </c>
    </row>
    <row r="186" spans="2:15" x14ac:dyDescent="0.25">
      <c r="B186" s="35" t="str">
        <f>IF(Control!$O189="","",INDEX(MemberOrg_Data[CFDA], Control!$O189))</f>
        <v/>
      </c>
      <c r="C186" s="35" t="str">
        <f t="array" ref="C186">IFERROR(INDEX(MemberOrg_Data[FEDERALPROGRAMNAME], MATCH(1, (SelectMemberOrg = MemberOrg_Data[Auditee Name])*(B186 = MemberOrg_Data[CFDA]), 0)), "")</f>
        <v/>
      </c>
      <c r="D186" s="36" t="str">
        <f>IFERROR(IF(B186 &lt;&gt; "", SUMIFS(MemberOrg_Data[Total Amount], MemberOrg_Data[Auditee Name], SelectMemberOrg, MemberOrg_Data[CFDA], B186), ""), "")</f>
        <v/>
      </c>
      <c r="E186" s="37" t="str">
        <f>IFERROR(INDEX(BudgetApprop_Data[President: % Change from 2019], MATCH(B186, BudgetApprop_Data[CFDA], 0)), "")</f>
        <v/>
      </c>
      <c r="F186" s="36" t="str">
        <f t="shared" si="8"/>
        <v/>
      </c>
      <c r="G186" s="46" t="str">
        <f>IFERROR(INDEX(BudgetApprop_Data[House: % Change from 2019], MATCH(FPWA_HelperTable[[#This Row],[CFDA]], BudgetApprop_Data[CFDA], 0)), "")</f>
        <v/>
      </c>
      <c r="H186" s="36" t="str">
        <f t="shared" si="9"/>
        <v/>
      </c>
      <c r="I186" s="35" t="str">
        <f>IF(B186 = "", "", IF(FPWA_HelperTable[[#This Row],[President $ Change]]&lt;&gt;"", RANK(F186, $F$6:$F$262)+COUNTIF($F$6:F186, F186)-1, 0))</f>
        <v/>
      </c>
      <c r="J186" s="35" t="str">
        <f>IFERROR((IF(I186= 0, COUNTIF($I$6:I186, 0), "")+MAX($I$6:$I$262)), "")</f>
        <v/>
      </c>
      <c r="K186" s="35" t="str">
        <f t="shared" si="10"/>
        <v/>
      </c>
      <c r="N186" s="34">
        <v>181</v>
      </c>
      <c r="O186" s="33" t="str">
        <f t="shared" si="11"/>
        <v/>
      </c>
    </row>
    <row r="187" spans="2:15" x14ac:dyDescent="0.25">
      <c r="B187" s="35" t="str">
        <f>IF(Control!$O190="","",INDEX(MemberOrg_Data[CFDA], Control!$O190))</f>
        <v/>
      </c>
      <c r="C187" s="35" t="str">
        <f t="array" ref="C187">IFERROR(INDEX(MemberOrg_Data[FEDERALPROGRAMNAME], MATCH(1, (SelectMemberOrg = MemberOrg_Data[Auditee Name])*(B187 = MemberOrg_Data[CFDA]), 0)), "")</f>
        <v/>
      </c>
      <c r="D187" s="36" t="str">
        <f>IFERROR(IF(B187 &lt;&gt; "", SUMIFS(MemberOrg_Data[Total Amount], MemberOrg_Data[Auditee Name], SelectMemberOrg, MemberOrg_Data[CFDA], B187), ""), "")</f>
        <v/>
      </c>
      <c r="E187" s="37" t="str">
        <f>IFERROR(INDEX(BudgetApprop_Data[President: % Change from 2019], MATCH(B187, BudgetApprop_Data[CFDA], 0)), "")</f>
        <v/>
      </c>
      <c r="F187" s="36" t="str">
        <f t="shared" si="8"/>
        <v/>
      </c>
      <c r="G187" s="46" t="str">
        <f>IFERROR(INDEX(BudgetApprop_Data[House: % Change from 2019], MATCH(FPWA_HelperTable[[#This Row],[CFDA]], BudgetApprop_Data[CFDA], 0)), "")</f>
        <v/>
      </c>
      <c r="H187" s="36" t="str">
        <f t="shared" si="9"/>
        <v/>
      </c>
      <c r="I187" s="35" t="str">
        <f>IF(B187 = "", "", IF(FPWA_HelperTable[[#This Row],[President $ Change]]&lt;&gt;"", RANK(F187, $F$6:$F$262)+COUNTIF($F$6:F187, F187)-1, 0))</f>
        <v/>
      </c>
      <c r="J187" s="35" t="str">
        <f>IFERROR((IF(I187= 0, COUNTIF($I$6:I187, 0), "")+MAX($I$6:$I$262)), "")</f>
        <v/>
      </c>
      <c r="K187" s="35" t="str">
        <f t="shared" si="10"/>
        <v/>
      </c>
      <c r="N187" s="34">
        <v>182</v>
      </c>
      <c r="O187" s="33" t="str">
        <f t="shared" si="11"/>
        <v/>
      </c>
    </row>
    <row r="188" spans="2:15" x14ac:dyDescent="0.25">
      <c r="B188" s="35" t="str">
        <f>IF(Control!$O191="","",INDEX(MemberOrg_Data[CFDA], Control!$O191))</f>
        <v/>
      </c>
      <c r="C188" s="35" t="str">
        <f t="array" ref="C188">IFERROR(INDEX(MemberOrg_Data[FEDERALPROGRAMNAME], MATCH(1, (SelectMemberOrg = MemberOrg_Data[Auditee Name])*(B188 = MemberOrg_Data[CFDA]), 0)), "")</f>
        <v/>
      </c>
      <c r="D188" s="36" t="str">
        <f>IFERROR(IF(B188 &lt;&gt; "", SUMIFS(MemberOrg_Data[Total Amount], MemberOrg_Data[Auditee Name], SelectMemberOrg, MemberOrg_Data[CFDA], B188), ""), "")</f>
        <v/>
      </c>
      <c r="E188" s="37" t="str">
        <f>IFERROR(INDEX(BudgetApprop_Data[President: % Change from 2019], MATCH(B188, BudgetApprop_Data[CFDA], 0)), "")</f>
        <v/>
      </c>
      <c r="F188" s="36" t="str">
        <f t="shared" si="8"/>
        <v/>
      </c>
      <c r="G188" s="46" t="str">
        <f>IFERROR(INDEX(BudgetApprop_Data[House: % Change from 2019], MATCH(FPWA_HelperTable[[#This Row],[CFDA]], BudgetApprop_Data[CFDA], 0)), "")</f>
        <v/>
      </c>
      <c r="H188" s="36" t="str">
        <f t="shared" si="9"/>
        <v/>
      </c>
      <c r="I188" s="35" t="str">
        <f>IF(B188 = "", "", IF(FPWA_HelperTable[[#This Row],[President $ Change]]&lt;&gt;"", RANK(F188, $F$6:$F$262)+COUNTIF($F$6:F188, F188)-1, 0))</f>
        <v/>
      </c>
      <c r="J188" s="35" t="str">
        <f>IFERROR((IF(I188= 0, COUNTIF($I$6:I188, 0), "")+MAX($I$6:$I$262)), "")</f>
        <v/>
      </c>
      <c r="K188" s="35" t="str">
        <f t="shared" si="10"/>
        <v/>
      </c>
      <c r="N188" s="34">
        <v>183</v>
      </c>
      <c r="O188" s="33" t="str">
        <f t="shared" si="11"/>
        <v/>
      </c>
    </row>
    <row r="189" spans="2:15" x14ac:dyDescent="0.25">
      <c r="B189" s="35" t="str">
        <f>IF(Control!$O192="","",INDEX(MemberOrg_Data[CFDA], Control!$O192))</f>
        <v/>
      </c>
      <c r="C189" s="35" t="str">
        <f t="array" ref="C189">IFERROR(INDEX(MemberOrg_Data[FEDERALPROGRAMNAME], MATCH(1, (SelectMemberOrg = MemberOrg_Data[Auditee Name])*(B189 = MemberOrg_Data[CFDA]), 0)), "")</f>
        <v/>
      </c>
      <c r="D189" s="36" t="str">
        <f>IFERROR(IF(B189 &lt;&gt; "", SUMIFS(MemberOrg_Data[Total Amount], MemberOrg_Data[Auditee Name], SelectMemberOrg, MemberOrg_Data[CFDA], B189), ""), "")</f>
        <v/>
      </c>
      <c r="E189" s="37" t="str">
        <f>IFERROR(INDEX(BudgetApprop_Data[President: % Change from 2019], MATCH(B189, BudgetApprop_Data[CFDA], 0)), "")</f>
        <v/>
      </c>
      <c r="F189" s="36" t="str">
        <f t="shared" si="8"/>
        <v/>
      </c>
      <c r="G189" s="46" t="str">
        <f>IFERROR(INDEX(BudgetApprop_Data[House: % Change from 2019], MATCH(FPWA_HelperTable[[#This Row],[CFDA]], BudgetApprop_Data[CFDA], 0)), "")</f>
        <v/>
      </c>
      <c r="H189" s="36" t="str">
        <f t="shared" si="9"/>
        <v/>
      </c>
      <c r="I189" s="35" t="str">
        <f>IF(B189 = "", "", IF(FPWA_HelperTable[[#This Row],[President $ Change]]&lt;&gt;"", RANK(F189, $F$6:$F$262)+COUNTIF($F$6:F189, F189)-1, 0))</f>
        <v/>
      </c>
      <c r="J189" s="35" t="str">
        <f>IFERROR((IF(I189= 0, COUNTIF($I$6:I189, 0), "")+MAX($I$6:$I$262)), "")</f>
        <v/>
      </c>
      <c r="K189" s="35" t="str">
        <f t="shared" si="10"/>
        <v/>
      </c>
      <c r="N189" s="34">
        <v>184</v>
      </c>
      <c r="O189" s="33" t="str">
        <f t="shared" si="11"/>
        <v/>
      </c>
    </row>
    <row r="190" spans="2:15" x14ac:dyDescent="0.25">
      <c r="B190" s="35" t="str">
        <f>IF(Control!$O193="","",INDEX(MemberOrg_Data[CFDA], Control!$O193))</f>
        <v/>
      </c>
      <c r="C190" s="35" t="str">
        <f t="array" ref="C190">IFERROR(INDEX(MemberOrg_Data[FEDERALPROGRAMNAME], MATCH(1, (SelectMemberOrg = MemberOrg_Data[Auditee Name])*(B190 = MemberOrg_Data[CFDA]), 0)), "")</f>
        <v/>
      </c>
      <c r="D190" s="36" t="str">
        <f>IFERROR(IF(B190 &lt;&gt; "", SUMIFS(MemberOrg_Data[Total Amount], MemberOrg_Data[Auditee Name], SelectMemberOrg, MemberOrg_Data[CFDA], B190), ""), "")</f>
        <v/>
      </c>
      <c r="E190" s="37" t="str">
        <f>IFERROR(INDEX(BudgetApprop_Data[President: % Change from 2019], MATCH(B190, BudgetApprop_Data[CFDA], 0)), "")</f>
        <v/>
      </c>
      <c r="F190" s="36" t="str">
        <f t="shared" si="8"/>
        <v/>
      </c>
      <c r="G190" s="46" t="str">
        <f>IFERROR(INDEX(BudgetApprop_Data[House: % Change from 2019], MATCH(FPWA_HelperTable[[#This Row],[CFDA]], BudgetApprop_Data[CFDA], 0)), "")</f>
        <v/>
      </c>
      <c r="H190" s="36" t="str">
        <f t="shared" si="9"/>
        <v/>
      </c>
      <c r="I190" s="35" t="str">
        <f>IF(B190 = "", "", IF(FPWA_HelperTable[[#This Row],[President $ Change]]&lt;&gt;"", RANK(F190, $F$6:$F$262)+COUNTIF($F$6:F190, F190)-1, 0))</f>
        <v/>
      </c>
      <c r="J190" s="35" t="str">
        <f>IFERROR((IF(I190= 0, COUNTIF($I$6:I190, 0), "")+MAX($I$6:$I$262)), "")</f>
        <v/>
      </c>
      <c r="K190" s="35" t="str">
        <f t="shared" si="10"/>
        <v/>
      </c>
      <c r="N190" s="34">
        <v>185</v>
      </c>
      <c r="O190" s="33" t="str">
        <f t="shared" si="11"/>
        <v/>
      </c>
    </row>
    <row r="191" spans="2:15" x14ac:dyDescent="0.25">
      <c r="B191" s="35" t="str">
        <f>IF(Control!$O194="","",INDEX(MemberOrg_Data[CFDA], Control!$O194))</f>
        <v/>
      </c>
      <c r="C191" s="35" t="str">
        <f t="array" ref="C191">IFERROR(INDEX(MemberOrg_Data[FEDERALPROGRAMNAME], MATCH(1, (SelectMemberOrg = MemberOrg_Data[Auditee Name])*(B191 = MemberOrg_Data[CFDA]), 0)), "")</f>
        <v/>
      </c>
      <c r="D191" s="36" t="str">
        <f>IFERROR(IF(B191 &lt;&gt; "", SUMIFS(MemberOrg_Data[Total Amount], MemberOrg_Data[Auditee Name], SelectMemberOrg, MemberOrg_Data[CFDA], B191), ""), "")</f>
        <v/>
      </c>
      <c r="E191" s="37" t="str">
        <f>IFERROR(INDEX(BudgetApprop_Data[President: % Change from 2019], MATCH(B191, BudgetApprop_Data[CFDA], 0)), "")</f>
        <v/>
      </c>
      <c r="F191" s="36" t="str">
        <f t="shared" si="8"/>
        <v/>
      </c>
      <c r="G191" s="46" t="str">
        <f>IFERROR(INDEX(BudgetApprop_Data[House: % Change from 2019], MATCH(FPWA_HelperTable[[#This Row],[CFDA]], BudgetApprop_Data[CFDA], 0)), "")</f>
        <v/>
      </c>
      <c r="H191" s="36" t="str">
        <f t="shared" si="9"/>
        <v/>
      </c>
      <c r="I191" s="35" t="str">
        <f>IF(B191 = "", "", IF(FPWA_HelperTable[[#This Row],[President $ Change]]&lt;&gt;"", RANK(F191, $F$6:$F$262)+COUNTIF($F$6:F191, F191)-1, 0))</f>
        <v/>
      </c>
      <c r="J191" s="35" t="str">
        <f>IFERROR((IF(I191= 0, COUNTIF($I$6:I191, 0), "")+MAX($I$6:$I$262)), "")</f>
        <v/>
      </c>
      <c r="K191" s="35" t="str">
        <f t="shared" si="10"/>
        <v/>
      </c>
      <c r="N191" s="34">
        <v>186</v>
      </c>
      <c r="O191" s="33" t="str">
        <f t="shared" si="11"/>
        <v/>
      </c>
    </row>
    <row r="192" spans="2:15" x14ac:dyDescent="0.25">
      <c r="B192" s="35" t="str">
        <f>IF(Control!$O195="","",INDEX(MemberOrg_Data[CFDA], Control!$O195))</f>
        <v/>
      </c>
      <c r="C192" s="35" t="str">
        <f t="array" ref="C192">IFERROR(INDEX(MemberOrg_Data[FEDERALPROGRAMNAME], MATCH(1, (SelectMemberOrg = MemberOrg_Data[Auditee Name])*(B192 = MemberOrg_Data[CFDA]), 0)), "")</f>
        <v/>
      </c>
      <c r="D192" s="36" t="str">
        <f>IFERROR(IF(B192 &lt;&gt; "", SUMIFS(MemberOrg_Data[Total Amount], MemberOrg_Data[Auditee Name], SelectMemberOrg, MemberOrg_Data[CFDA], B192), ""), "")</f>
        <v/>
      </c>
      <c r="E192" s="37" t="str">
        <f>IFERROR(INDEX(BudgetApprop_Data[President: % Change from 2019], MATCH(B192, BudgetApprop_Data[CFDA], 0)), "")</f>
        <v/>
      </c>
      <c r="F192" s="36" t="str">
        <f t="shared" si="8"/>
        <v/>
      </c>
      <c r="G192" s="46" t="str">
        <f>IFERROR(INDEX(BudgetApprop_Data[House: % Change from 2019], MATCH(FPWA_HelperTable[[#This Row],[CFDA]], BudgetApprop_Data[CFDA], 0)), "")</f>
        <v/>
      </c>
      <c r="H192" s="36" t="str">
        <f t="shared" si="9"/>
        <v/>
      </c>
      <c r="I192" s="35" t="str">
        <f>IF(B192 = "", "", IF(FPWA_HelperTable[[#This Row],[President $ Change]]&lt;&gt;"", RANK(F192, $F$6:$F$262)+COUNTIF($F$6:F192, F192)-1, 0))</f>
        <v/>
      </c>
      <c r="J192" s="35" t="str">
        <f>IFERROR((IF(I192= 0, COUNTIF($I$6:I192, 0), "")+MAX($I$6:$I$262)), "")</f>
        <v/>
      </c>
      <c r="K192" s="35" t="str">
        <f t="shared" si="10"/>
        <v/>
      </c>
      <c r="N192" s="34">
        <v>187</v>
      </c>
      <c r="O192" s="33" t="str">
        <f t="shared" si="11"/>
        <v/>
      </c>
    </row>
    <row r="193" spans="2:15" x14ac:dyDescent="0.25">
      <c r="B193" s="35" t="str">
        <f>IF(Control!$O196="","",INDEX(MemberOrg_Data[CFDA], Control!$O196))</f>
        <v/>
      </c>
      <c r="C193" s="35" t="str">
        <f t="array" ref="C193">IFERROR(INDEX(MemberOrg_Data[FEDERALPROGRAMNAME], MATCH(1, (SelectMemberOrg = MemberOrg_Data[Auditee Name])*(B193 = MemberOrg_Data[CFDA]), 0)), "")</f>
        <v/>
      </c>
      <c r="D193" s="36" t="str">
        <f>IFERROR(IF(B193 &lt;&gt; "", SUMIFS(MemberOrg_Data[Total Amount], MemberOrg_Data[Auditee Name], SelectMemberOrg, MemberOrg_Data[CFDA], B193), ""), "")</f>
        <v/>
      </c>
      <c r="E193" s="37" t="str">
        <f>IFERROR(INDEX(BudgetApprop_Data[President: % Change from 2019], MATCH(B193, BudgetApprop_Data[CFDA], 0)), "")</f>
        <v/>
      </c>
      <c r="F193" s="36" t="str">
        <f t="shared" si="8"/>
        <v/>
      </c>
      <c r="G193" s="46" t="str">
        <f>IFERROR(INDEX(BudgetApprop_Data[House: % Change from 2019], MATCH(FPWA_HelperTable[[#This Row],[CFDA]], BudgetApprop_Data[CFDA], 0)), "")</f>
        <v/>
      </c>
      <c r="H193" s="36" t="str">
        <f t="shared" si="9"/>
        <v/>
      </c>
      <c r="I193" s="35" t="str">
        <f>IF(B193 = "", "", IF(FPWA_HelperTable[[#This Row],[President $ Change]]&lt;&gt;"", RANK(F193, $F$6:$F$262)+COUNTIF($F$6:F193, F193)-1, 0))</f>
        <v/>
      </c>
      <c r="J193" s="35" t="str">
        <f>IFERROR((IF(I193= 0, COUNTIF($I$6:I193, 0), "")+MAX($I$6:$I$262)), "")</f>
        <v/>
      </c>
      <c r="K193" s="35" t="str">
        <f t="shared" si="10"/>
        <v/>
      </c>
      <c r="N193" s="34">
        <v>188</v>
      </c>
      <c r="O193" s="33" t="str">
        <f t="shared" si="11"/>
        <v/>
      </c>
    </row>
    <row r="194" spans="2:15" x14ac:dyDescent="0.25">
      <c r="B194" s="35" t="str">
        <f>IF(Control!$O197="","",INDEX(MemberOrg_Data[CFDA], Control!$O197))</f>
        <v/>
      </c>
      <c r="C194" s="35" t="str">
        <f t="array" ref="C194">IFERROR(INDEX(MemberOrg_Data[FEDERALPROGRAMNAME], MATCH(1, (SelectMemberOrg = MemberOrg_Data[Auditee Name])*(B194 = MemberOrg_Data[CFDA]), 0)), "")</f>
        <v/>
      </c>
      <c r="D194" s="36" t="str">
        <f>IFERROR(IF(B194 &lt;&gt; "", SUMIFS(MemberOrg_Data[Total Amount], MemberOrg_Data[Auditee Name], SelectMemberOrg, MemberOrg_Data[CFDA], B194), ""), "")</f>
        <v/>
      </c>
      <c r="E194" s="37" t="str">
        <f>IFERROR(INDEX(BudgetApprop_Data[President: % Change from 2019], MATCH(B194, BudgetApprop_Data[CFDA], 0)), "")</f>
        <v/>
      </c>
      <c r="F194" s="36" t="str">
        <f t="shared" si="8"/>
        <v/>
      </c>
      <c r="G194" s="46" t="str">
        <f>IFERROR(INDEX(BudgetApprop_Data[House: % Change from 2019], MATCH(FPWA_HelperTable[[#This Row],[CFDA]], BudgetApprop_Data[CFDA], 0)), "")</f>
        <v/>
      </c>
      <c r="H194" s="36" t="str">
        <f t="shared" si="9"/>
        <v/>
      </c>
      <c r="I194" s="35" t="str">
        <f>IF(B194 = "", "", IF(FPWA_HelperTable[[#This Row],[President $ Change]]&lt;&gt;"", RANK(F194, $F$6:$F$262)+COUNTIF($F$6:F194, F194)-1, 0))</f>
        <v/>
      </c>
      <c r="J194" s="35" t="str">
        <f>IFERROR((IF(I194= 0, COUNTIF($I$6:I194, 0), "")+MAX($I$6:$I$262)), "")</f>
        <v/>
      </c>
      <c r="K194" s="35" t="str">
        <f t="shared" si="10"/>
        <v/>
      </c>
      <c r="N194" s="34">
        <v>189</v>
      </c>
      <c r="O194" s="33" t="str">
        <f t="shared" si="11"/>
        <v/>
      </c>
    </row>
    <row r="195" spans="2:15" x14ac:dyDescent="0.25">
      <c r="B195" s="35" t="str">
        <f>IF(Control!$O198="","",INDEX(MemberOrg_Data[CFDA], Control!$O198))</f>
        <v/>
      </c>
      <c r="C195" s="35" t="str">
        <f t="array" ref="C195">IFERROR(INDEX(MemberOrg_Data[FEDERALPROGRAMNAME], MATCH(1, (SelectMemberOrg = MemberOrg_Data[Auditee Name])*(B195 = MemberOrg_Data[CFDA]), 0)), "")</f>
        <v/>
      </c>
      <c r="D195" s="36" t="str">
        <f>IFERROR(IF(B195 &lt;&gt; "", SUMIFS(MemberOrg_Data[Total Amount], MemberOrg_Data[Auditee Name], SelectMemberOrg, MemberOrg_Data[CFDA], B195), ""), "")</f>
        <v/>
      </c>
      <c r="E195" s="37" t="str">
        <f>IFERROR(INDEX(BudgetApprop_Data[President: % Change from 2019], MATCH(B195, BudgetApprop_Data[CFDA], 0)), "")</f>
        <v/>
      </c>
      <c r="F195" s="36" t="str">
        <f t="shared" si="8"/>
        <v/>
      </c>
      <c r="G195" s="46" t="str">
        <f>IFERROR(INDEX(BudgetApprop_Data[House: % Change from 2019], MATCH(FPWA_HelperTable[[#This Row],[CFDA]], BudgetApprop_Data[CFDA], 0)), "")</f>
        <v/>
      </c>
      <c r="H195" s="36" t="str">
        <f t="shared" si="9"/>
        <v/>
      </c>
      <c r="I195" s="35" t="str">
        <f>IF(B195 = "", "", IF(FPWA_HelperTable[[#This Row],[President $ Change]]&lt;&gt;"", RANK(F195, $F$6:$F$262)+COUNTIF($F$6:F195, F195)-1, 0))</f>
        <v/>
      </c>
      <c r="J195" s="35" t="str">
        <f>IFERROR((IF(I195= 0, COUNTIF($I$6:I195, 0), "")+MAX($I$6:$I$262)), "")</f>
        <v/>
      </c>
      <c r="K195" s="35" t="str">
        <f t="shared" si="10"/>
        <v/>
      </c>
      <c r="N195" s="34">
        <v>190</v>
      </c>
      <c r="O195" s="33" t="str">
        <f t="shared" si="11"/>
        <v/>
      </c>
    </row>
    <row r="196" spans="2:15" x14ac:dyDescent="0.25">
      <c r="B196" s="35" t="str">
        <f>IF(Control!$O199="","",INDEX(MemberOrg_Data[CFDA], Control!$O199))</f>
        <v/>
      </c>
      <c r="C196" s="35" t="str">
        <f t="array" ref="C196">IFERROR(INDEX(MemberOrg_Data[FEDERALPROGRAMNAME], MATCH(1, (SelectMemberOrg = MemberOrg_Data[Auditee Name])*(B196 = MemberOrg_Data[CFDA]), 0)), "")</f>
        <v/>
      </c>
      <c r="D196" s="36" t="str">
        <f>IFERROR(IF(B196 &lt;&gt; "", SUMIFS(MemberOrg_Data[Total Amount], MemberOrg_Data[Auditee Name], SelectMemberOrg, MemberOrg_Data[CFDA], B196), ""), "")</f>
        <v/>
      </c>
      <c r="E196" s="37" t="str">
        <f>IFERROR(INDEX(BudgetApprop_Data[President: % Change from 2019], MATCH(B196, BudgetApprop_Data[CFDA], 0)), "")</f>
        <v/>
      </c>
      <c r="F196" s="36" t="str">
        <f t="shared" si="8"/>
        <v/>
      </c>
      <c r="G196" s="46" t="str">
        <f>IFERROR(INDEX(BudgetApprop_Data[House: % Change from 2019], MATCH(FPWA_HelperTable[[#This Row],[CFDA]], BudgetApprop_Data[CFDA], 0)), "")</f>
        <v/>
      </c>
      <c r="H196" s="36" t="str">
        <f t="shared" si="9"/>
        <v/>
      </c>
      <c r="I196" s="35" t="str">
        <f>IF(B196 = "", "", IF(FPWA_HelperTable[[#This Row],[President $ Change]]&lt;&gt;"", RANK(F196, $F$6:$F$262)+COUNTIF($F$6:F196, F196)-1, 0))</f>
        <v/>
      </c>
      <c r="J196" s="35" t="str">
        <f>IFERROR((IF(I196= 0, COUNTIF($I$6:I196, 0), "")+MAX($I$6:$I$262)), "")</f>
        <v/>
      </c>
      <c r="K196" s="35" t="str">
        <f t="shared" si="10"/>
        <v/>
      </c>
      <c r="N196" s="34">
        <v>191</v>
      </c>
      <c r="O196" s="33" t="str">
        <f t="shared" si="11"/>
        <v/>
      </c>
    </row>
    <row r="197" spans="2:15" x14ac:dyDescent="0.25">
      <c r="B197" s="35" t="str">
        <f>IF(Control!$O200="","",INDEX(MemberOrg_Data[CFDA], Control!$O200))</f>
        <v/>
      </c>
      <c r="C197" s="35" t="str">
        <f t="array" ref="C197">IFERROR(INDEX(MemberOrg_Data[FEDERALPROGRAMNAME], MATCH(1, (SelectMemberOrg = MemberOrg_Data[Auditee Name])*(B197 = MemberOrg_Data[CFDA]), 0)), "")</f>
        <v/>
      </c>
      <c r="D197" s="36" t="str">
        <f>IFERROR(IF(B197 &lt;&gt; "", SUMIFS(MemberOrg_Data[Total Amount], MemberOrg_Data[Auditee Name], SelectMemberOrg, MemberOrg_Data[CFDA], B197), ""), "")</f>
        <v/>
      </c>
      <c r="E197" s="37" t="str">
        <f>IFERROR(INDEX(BudgetApprop_Data[President: % Change from 2019], MATCH(B197, BudgetApprop_Data[CFDA], 0)), "")</f>
        <v/>
      </c>
      <c r="F197" s="36" t="str">
        <f t="shared" si="8"/>
        <v/>
      </c>
      <c r="G197" s="46" t="str">
        <f>IFERROR(INDEX(BudgetApprop_Data[House: % Change from 2019], MATCH(FPWA_HelperTable[[#This Row],[CFDA]], BudgetApprop_Data[CFDA], 0)), "")</f>
        <v/>
      </c>
      <c r="H197" s="36" t="str">
        <f t="shared" si="9"/>
        <v/>
      </c>
      <c r="I197" s="35" t="str">
        <f>IF(B197 = "", "", IF(FPWA_HelperTable[[#This Row],[President $ Change]]&lt;&gt;"", RANK(F197, $F$6:$F$262)+COUNTIF($F$6:F197, F197)-1, 0))</f>
        <v/>
      </c>
      <c r="J197" s="35" t="str">
        <f>IFERROR((IF(I197= 0, COUNTIF($I$6:I197, 0), "")+MAX($I$6:$I$262)), "")</f>
        <v/>
      </c>
      <c r="K197" s="35" t="str">
        <f t="shared" si="10"/>
        <v/>
      </c>
      <c r="N197" s="34">
        <v>192</v>
      </c>
      <c r="O197" s="33" t="str">
        <f t="shared" si="11"/>
        <v/>
      </c>
    </row>
    <row r="198" spans="2:15" x14ac:dyDescent="0.25">
      <c r="B198" s="35" t="str">
        <f>IF(Control!$O201="","",INDEX(MemberOrg_Data[CFDA], Control!$O201))</f>
        <v/>
      </c>
      <c r="C198" s="35" t="str">
        <f t="array" ref="C198">IFERROR(INDEX(MemberOrg_Data[FEDERALPROGRAMNAME], MATCH(1, (SelectMemberOrg = MemberOrg_Data[Auditee Name])*(B198 = MemberOrg_Data[CFDA]), 0)), "")</f>
        <v/>
      </c>
      <c r="D198" s="36" t="str">
        <f>IFERROR(IF(B198 &lt;&gt; "", SUMIFS(MemberOrg_Data[Total Amount], MemberOrg_Data[Auditee Name], SelectMemberOrg, MemberOrg_Data[CFDA], B198), ""), "")</f>
        <v/>
      </c>
      <c r="E198" s="37" t="str">
        <f>IFERROR(INDEX(BudgetApprop_Data[President: % Change from 2019], MATCH(B198, BudgetApprop_Data[CFDA], 0)), "")</f>
        <v/>
      </c>
      <c r="F198" s="36" t="str">
        <f t="shared" ref="F198:F261" si="12">IFERROR(IF(B198&lt;&gt;"", D198*E198, ""), "" )</f>
        <v/>
      </c>
      <c r="G198" s="46" t="str">
        <f>IFERROR(INDEX(BudgetApprop_Data[House: % Change from 2019], MATCH(FPWA_HelperTable[[#This Row],[CFDA]], BudgetApprop_Data[CFDA], 0)), "")</f>
        <v/>
      </c>
      <c r="H198" s="36" t="str">
        <f t="shared" si="9"/>
        <v/>
      </c>
      <c r="I198" s="35" t="str">
        <f>IF(B198 = "", "", IF(FPWA_HelperTable[[#This Row],[President $ Change]]&lt;&gt;"", RANK(F198, $F$6:$F$262)+COUNTIF($F$6:F198, F198)-1, 0))</f>
        <v/>
      </c>
      <c r="J198" s="35" t="str">
        <f>IFERROR((IF(I198= 0, COUNTIF($I$6:I198, 0), "")+MAX($I$6:$I$262)), "")</f>
        <v/>
      </c>
      <c r="K198" s="35" t="str">
        <f t="shared" si="10"/>
        <v/>
      </c>
      <c r="N198" s="34">
        <v>193</v>
      </c>
      <c r="O198" s="33" t="str">
        <f t="shared" si="11"/>
        <v/>
      </c>
    </row>
    <row r="199" spans="2:15" x14ac:dyDescent="0.25">
      <c r="B199" s="35" t="str">
        <f>IF(Control!$O202="","",INDEX(MemberOrg_Data[CFDA], Control!$O202))</f>
        <v/>
      </c>
      <c r="C199" s="35" t="str">
        <f t="array" ref="C199">IFERROR(INDEX(MemberOrg_Data[FEDERALPROGRAMNAME], MATCH(1, (SelectMemberOrg = MemberOrg_Data[Auditee Name])*(B199 = MemberOrg_Data[CFDA]), 0)), "")</f>
        <v/>
      </c>
      <c r="D199" s="36" t="str">
        <f>IFERROR(IF(B199 &lt;&gt; "", SUMIFS(MemberOrg_Data[Total Amount], MemberOrg_Data[Auditee Name], SelectMemberOrg, MemberOrg_Data[CFDA], B199), ""), "")</f>
        <v/>
      </c>
      <c r="E199" s="37" t="str">
        <f>IFERROR(INDEX(BudgetApprop_Data[President: % Change from 2019], MATCH(B199, BudgetApprop_Data[CFDA], 0)), "")</f>
        <v/>
      </c>
      <c r="F199" s="36" t="str">
        <f t="shared" si="12"/>
        <v/>
      </c>
      <c r="G199" s="46" t="str">
        <f>IFERROR(INDEX(BudgetApprop_Data[House: % Change from 2019], MATCH(FPWA_HelperTable[[#This Row],[CFDA]], BudgetApprop_Data[CFDA], 0)), "")</f>
        <v/>
      </c>
      <c r="H199" s="36" t="str">
        <f t="shared" ref="H199:H262" si="13">IFERROR(IF(B199&lt;&gt; "", D199*G199, ""), "")</f>
        <v/>
      </c>
      <c r="I199" s="35" t="str">
        <f>IF(B199 = "", "", IF(FPWA_HelperTable[[#This Row],[President $ Change]]&lt;&gt;"", RANK(F199, $F$6:$F$262)+COUNTIF($F$6:F199, F199)-1, 0))</f>
        <v/>
      </c>
      <c r="J199" s="35" t="str">
        <f>IFERROR((IF(I199= 0, COUNTIF($I$6:I199, 0), "")+MAX($I$6:$I$262)), "")</f>
        <v/>
      </c>
      <c r="K199" s="35" t="str">
        <f t="shared" ref="K199:K262" si="14">IF(B199&lt;&gt; "", SUM(I199, J199), "")</f>
        <v/>
      </c>
      <c r="N199" s="34">
        <v>194</v>
      </c>
      <c r="O199" s="33" t="str">
        <f t="shared" ref="O199:O262" si="15">IFERROR(INDEX($B$6:$B$262, MATCH(N199, $K$6:$K$262, 0)), "")</f>
        <v/>
      </c>
    </row>
    <row r="200" spans="2:15" x14ac:dyDescent="0.25">
      <c r="B200" s="35" t="str">
        <f>IF(Control!$O203="","",INDEX(MemberOrg_Data[CFDA], Control!$O203))</f>
        <v/>
      </c>
      <c r="C200" s="35" t="str">
        <f t="array" ref="C200">IFERROR(INDEX(MemberOrg_Data[FEDERALPROGRAMNAME], MATCH(1, (SelectMemberOrg = MemberOrg_Data[Auditee Name])*(B200 = MemberOrg_Data[CFDA]), 0)), "")</f>
        <v/>
      </c>
      <c r="D200" s="36" t="str">
        <f>IFERROR(IF(B200 &lt;&gt; "", SUMIFS(MemberOrg_Data[Total Amount], MemberOrg_Data[Auditee Name], SelectMemberOrg, MemberOrg_Data[CFDA], B200), ""), "")</f>
        <v/>
      </c>
      <c r="E200" s="37" t="str">
        <f>IFERROR(INDEX(BudgetApprop_Data[President: % Change from 2019], MATCH(B200, BudgetApprop_Data[CFDA], 0)), "")</f>
        <v/>
      </c>
      <c r="F200" s="36" t="str">
        <f t="shared" si="12"/>
        <v/>
      </c>
      <c r="G200" s="46" t="str">
        <f>IFERROR(INDEX(BudgetApprop_Data[House: % Change from 2019], MATCH(FPWA_HelperTable[[#This Row],[CFDA]], BudgetApprop_Data[CFDA], 0)), "")</f>
        <v/>
      </c>
      <c r="H200" s="36" t="str">
        <f t="shared" si="13"/>
        <v/>
      </c>
      <c r="I200" s="35" t="str">
        <f>IF(B200 = "", "", IF(FPWA_HelperTable[[#This Row],[President $ Change]]&lt;&gt;"", RANK(F200, $F$6:$F$262)+COUNTIF($F$6:F200, F200)-1, 0))</f>
        <v/>
      </c>
      <c r="J200" s="35" t="str">
        <f>IFERROR((IF(I200= 0, COUNTIF($I$6:I200, 0), "")+MAX($I$6:$I$262)), "")</f>
        <v/>
      </c>
      <c r="K200" s="35" t="str">
        <f t="shared" si="14"/>
        <v/>
      </c>
      <c r="N200" s="34">
        <v>195</v>
      </c>
      <c r="O200" s="33" t="str">
        <f t="shared" si="15"/>
        <v/>
      </c>
    </row>
    <row r="201" spans="2:15" x14ac:dyDescent="0.25">
      <c r="B201" s="35" t="str">
        <f>IF(Control!$O204="","",INDEX(MemberOrg_Data[CFDA], Control!$O204))</f>
        <v/>
      </c>
      <c r="C201" s="35" t="str">
        <f t="array" ref="C201">IFERROR(INDEX(MemberOrg_Data[FEDERALPROGRAMNAME], MATCH(1, (SelectMemberOrg = MemberOrg_Data[Auditee Name])*(B201 = MemberOrg_Data[CFDA]), 0)), "")</f>
        <v/>
      </c>
      <c r="D201" s="36" t="str">
        <f>IFERROR(IF(B201 &lt;&gt; "", SUMIFS(MemberOrg_Data[Total Amount], MemberOrg_Data[Auditee Name], SelectMemberOrg, MemberOrg_Data[CFDA], B201), ""), "")</f>
        <v/>
      </c>
      <c r="E201" s="37" t="str">
        <f>IFERROR(INDEX(BudgetApprop_Data[President: % Change from 2019], MATCH(B201, BudgetApprop_Data[CFDA], 0)), "")</f>
        <v/>
      </c>
      <c r="F201" s="36" t="str">
        <f t="shared" si="12"/>
        <v/>
      </c>
      <c r="G201" s="46" t="str">
        <f>IFERROR(INDEX(BudgetApprop_Data[House: % Change from 2019], MATCH(FPWA_HelperTable[[#This Row],[CFDA]], BudgetApprop_Data[CFDA], 0)), "")</f>
        <v/>
      </c>
      <c r="H201" s="36" t="str">
        <f t="shared" si="13"/>
        <v/>
      </c>
      <c r="I201" s="35" t="str">
        <f>IF(B201 = "", "", IF(FPWA_HelperTable[[#This Row],[President $ Change]]&lt;&gt;"", RANK(F201, $F$6:$F$262)+COUNTIF($F$6:F201, F201)-1, 0))</f>
        <v/>
      </c>
      <c r="J201" s="35" t="str">
        <f>IFERROR((IF(I201= 0, COUNTIF($I$6:I201, 0), "")+MAX($I$6:$I$262)), "")</f>
        <v/>
      </c>
      <c r="K201" s="35" t="str">
        <f t="shared" si="14"/>
        <v/>
      </c>
      <c r="N201" s="34">
        <v>196</v>
      </c>
      <c r="O201" s="33" t="str">
        <f t="shared" si="15"/>
        <v/>
      </c>
    </row>
    <row r="202" spans="2:15" x14ac:dyDescent="0.25">
      <c r="B202" s="35" t="str">
        <f>IF(Control!$O205="","",INDEX(MemberOrg_Data[CFDA], Control!$O205))</f>
        <v/>
      </c>
      <c r="C202" s="35" t="str">
        <f t="array" ref="C202">IFERROR(INDEX(MemberOrg_Data[FEDERALPROGRAMNAME], MATCH(1, (SelectMemberOrg = MemberOrg_Data[Auditee Name])*(B202 = MemberOrg_Data[CFDA]), 0)), "")</f>
        <v/>
      </c>
      <c r="D202" s="36" t="str">
        <f>IFERROR(IF(B202 &lt;&gt; "", SUMIFS(MemberOrg_Data[Total Amount], MemberOrg_Data[Auditee Name], SelectMemberOrg, MemberOrg_Data[CFDA], B202), ""), "")</f>
        <v/>
      </c>
      <c r="E202" s="37" t="str">
        <f>IFERROR(INDEX(BudgetApprop_Data[President: % Change from 2019], MATCH(B202, BudgetApprop_Data[CFDA], 0)), "")</f>
        <v/>
      </c>
      <c r="F202" s="36" t="str">
        <f t="shared" si="12"/>
        <v/>
      </c>
      <c r="G202" s="46" t="str">
        <f>IFERROR(INDEX(BudgetApprop_Data[House: % Change from 2019], MATCH(FPWA_HelperTable[[#This Row],[CFDA]], BudgetApprop_Data[CFDA], 0)), "")</f>
        <v/>
      </c>
      <c r="H202" s="36" t="str">
        <f t="shared" si="13"/>
        <v/>
      </c>
      <c r="I202" s="35" t="str">
        <f>IF(B202 = "", "", IF(FPWA_HelperTable[[#This Row],[President $ Change]]&lt;&gt;"", RANK(F202, $F$6:$F$262)+COUNTIF($F$6:F202, F202)-1, 0))</f>
        <v/>
      </c>
      <c r="J202" s="35" t="str">
        <f>IFERROR((IF(I202= 0, COUNTIF($I$6:I202, 0), "")+MAX($I$6:$I$262)), "")</f>
        <v/>
      </c>
      <c r="K202" s="35" t="str">
        <f t="shared" si="14"/>
        <v/>
      </c>
      <c r="N202" s="34">
        <v>197</v>
      </c>
      <c r="O202" s="33" t="str">
        <f t="shared" si="15"/>
        <v/>
      </c>
    </row>
    <row r="203" spans="2:15" x14ac:dyDescent="0.25">
      <c r="B203" s="35" t="str">
        <f>IF(Control!$O206="","",INDEX(MemberOrg_Data[CFDA], Control!$O206))</f>
        <v/>
      </c>
      <c r="C203" s="35" t="str">
        <f t="array" ref="C203">IFERROR(INDEX(MemberOrg_Data[FEDERALPROGRAMNAME], MATCH(1, (SelectMemberOrg = MemberOrg_Data[Auditee Name])*(B203 = MemberOrg_Data[CFDA]), 0)), "")</f>
        <v/>
      </c>
      <c r="D203" s="36" t="str">
        <f>IFERROR(IF(B203 &lt;&gt; "", SUMIFS(MemberOrg_Data[Total Amount], MemberOrg_Data[Auditee Name], SelectMemberOrg, MemberOrg_Data[CFDA], B203), ""), "")</f>
        <v/>
      </c>
      <c r="E203" s="37" t="str">
        <f>IFERROR(INDEX(BudgetApprop_Data[President: % Change from 2019], MATCH(B203, BudgetApprop_Data[CFDA], 0)), "")</f>
        <v/>
      </c>
      <c r="F203" s="36" t="str">
        <f t="shared" si="12"/>
        <v/>
      </c>
      <c r="G203" s="46" t="str">
        <f>IFERROR(INDEX(BudgetApprop_Data[House: % Change from 2019], MATCH(FPWA_HelperTable[[#This Row],[CFDA]], BudgetApprop_Data[CFDA], 0)), "")</f>
        <v/>
      </c>
      <c r="H203" s="36" t="str">
        <f t="shared" si="13"/>
        <v/>
      </c>
      <c r="I203" s="35" t="str">
        <f>IF(B203 = "", "", IF(FPWA_HelperTable[[#This Row],[President $ Change]]&lt;&gt;"", RANK(F203, $F$6:$F$262)+COUNTIF($F$6:F203, F203)-1, 0))</f>
        <v/>
      </c>
      <c r="J203" s="35" t="str">
        <f>IFERROR((IF(I203= 0, COUNTIF($I$6:I203, 0), "")+MAX($I$6:$I$262)), "")</f>
        <v/>
      </c>
      <c r="K203" s="35" t="str">
        <f t="shared" si="14"/>
        <v/>
      </c>
      <c r="N203" s="34">
        <v>198</v>
      </c>
      <c r="O203" s="33" t="str">
        <f t="shared" si="15"/>
        <v/>
      </c>
    </row>
    <row r="204" spans="2:15" x14ac:dyDescent="0.25">
      <c r="B204" s="35" t="str">
        <f>IF(Control!$O207="","",INDEX(MemberOrg_Data[CFDA], Control!$O207))</f>
        <v/>
      </c>
      <c r="C204" s="35" t="str">
        <f t="array" ref="C204">IFERROR(INDEX(MemberOrg_Data[FEDERALPROGRAMNAME], MATCH(1, (SelectMemberOrg = MemberOrg_Data[Auditee Name])*(B204 = MemberOrg_Data[CFDA]), 0)), "")</f>
        <v/>
      </c>
      <c r="D204" s="36" t="str">
        <f>IFERROR(IF(B204 &lt;&gt; "", SUMIFS(MemberOrg_Data[Total Amount], MemberOrg_Data[Auditee Name], SelectMemberOrg, MemberOrg_Data[CFDA], B204), ""), "")</f>
        <v/>
      </c>
      <c r="E204" s="37" t="str">
        <f>IFERROR(INDEX(BudgetApprop_Data[President: % Change from 2019], MATCH(B204, BudgetApprop_Data[CFDA], 0)), "")</f>
        <v/>
      </c>
      <c r="F204" s="36" t="str">
        <f t="shared" si="12"/>
        <v/>
      </c>
      <c r="G204" s="46" t="str">
        <f>IFERROR(INDEX(BudgetApprop_Data[House: % Change from 2019], MATCH(FPWA_HelperTable[[#This Row],[CFDA]], BudgetApprop_Data[CFDA], 0)), "")</f>
        <v/>
      </c>
      <c r="H204" s="36" t="str">
        <f t="shared" si="13"/>
        <v/>
      </c>
      <c r="I204" s="35" t="str">
        <f>IF(B204 = "", "", IF(FPWA_HelperTable[[#This Row],[President $ Change]]&lt;&gt;"", RANK(F204, $F$6:$F$262)+COUNTIF($F$6:F204, F204)-1, 0))</f>
        <v/>
      </c>
      <c r="J204" s="35" t="str">
        <f>IFERROR((IF(I204= 0, COUNTIF($I$6:I204, 0), "")+MAX($I$6:$I$262)), "")</f>
        <v/>
      </c>
      <c r="K204" s="35" t="str">
        <f t="shared" si="14"/>
        <v/>
      </c>
      <c r="N204" s="34">
        <v>199</v>
      </c>
      <c r="O204" s="33" t="str">
        <f t="shared" si="15"/>
        <v/>
      </c>
    </row>
    <row r="205" spans="2:15" x14ac:dyDescent="0.25">
      <c r="B205" s="35" t="str">
        <f>IF(Control!$O208="","",INDEX(MemberOrg_Data[CFDA], Control!$O208))</f>
        <v/>
      </c>
      <c r="C205" s="35" t="str">
        <f t="array" ref="C205">IFERROR(INDEX(MemberOrg_Data[FEDERALPROGRAMNAME], MATCH(1, (SelectMemberOrg = MemberOrg_Data[Auditee Name])*(B205 = MemberOrg_Data[CFDA]), 0)), "")</f>
        <v/>
      </c>
      <c r="D205" s="36" t="str">
        <f>IFERROR(IF(B205 &lt;&gt; "", SUMIFS(MemberOrg_Data[Total Amount], MemberOrg_Data[Auditee Name], SelectMemberOrg, MemberOrg_Data[CFDA], B205), ""), "")</f>
        <v/>
      </c>
      <c r="E205" s="37" t="str">
        <f>IFERROR(INDEX(BudgetApprop_Data[President: % Change from 2019], MATCH(B205, BudgetApprop_Data[CFDA], 0)), "")</f>
        <v/>
      </c>
      <c r="F205" s="36" t="str">
        <f t="shared" si="12"/>
        <v/>
      </c>
      <c r="G205" s="46" t="str">
        <f>IFERROR(INDEX(BudgetApprop_Data[House: % Change from 2019], MATCH(FPWA_HelperTable[[#This Row],[CFDA]], BudgetApprop_Data[CFDA], 0)), "")</f>
        <v/>
      </c>
      <c r="H205" s="36" t="str">
        <f t="shared" si="13"/>
        <v/>
      </c>
      <c r="I205" s="35" t="str">
        <f>IF(B205 = "", "", IF(FPWA_HelperTable[[#This Row],[President $ Change]]&lt;&gt;"", RANK(F205, $F$6:$F$262)+COUNTIF($F$6:F205, F205)-1, 0))</f>
        <v/>
      </c>
      <c r="J205" s="35" t="str">
        <f>IFERROR((IF(I205= 0, COUNTIF($I$6:I205, 0), "")+MAX($I$6:$I$262)), "")</f>
        <v/>
      </c>
      <c r="K205" s="35" t="str">
        <f t="shared" si="14"/>
        <v/>
      </c>
      <c r="N205" s="34">
        <v>200</v>
      </c>
      <c r="O205" s="33" t="str">
        <f t="shared" si="15"/>
        <v/>
      </c>
    </row>
    <row r="206" spans="2:15" x14ac:dyDescent="0.25">
      <c r="B206" s="35" t="str">
        <f>IF(Control!$O209="","",INDEX(MemberOrg_Data[CFDA], Control!$O209))</f>
        <v/>
      </c>
      <c r="C206" s="35" t="str">
        <f t="array" ref="C206">IFERROR(INDEX(MemberOrg_Data[FEDERALPROGRAMNAME], MATCH(1, (SelectMemberOrg = MemberOrg_Data[Auditee Name])*(B206 = MemberOrg_Data[CFDA]), 0)), "")</f>
        <v/>
      </c>
      <c r="D206" s="36" t="str">
        <f>IFERROR(IF(B206 &lt;&gt; "", SUMIFS(MemberOrg_Data[Total Amount], MemberOrg_Data[Auditee Name], SelectMemberOrg, MemberOrg_Data[CFDA], B206), ""), "")</f>
        <v/>
      </c>
      <c r="E206" s="37" t="str">
        <f>IFERROR(INDEX(BudgetApprop_Data[President: % Change from 2019], MATCH(B206, BudgetApprop_Data[CFDA], 0)), "")</f>
        <v/>
      </c>
      <c r="F206" s="36" t="str">
        <f t="shared" si="12"/>
        <v/>
      </c>
      <c r="G206" s="46" t="str">
        <f>IFERROR(INDEX(BudgetApprop_Data[House: % Change from 2019], MATCH(FPWA_HelperTable[[#This Row],[CFDA]], BudgetApprop_Data[CFDA], 0)), "")</f>
        <v/>
      </c>
      <c r="H206" s="36" t="str">
        <f t="shared" si="13"/>
        <v/>
      </c>
      <c r="I206" s="35" t="str">
        <f>IF(B206 = "", "", IF(FPWA_HelperTable[[#This Row],[President $ Change]]&lt;&gt;"", RANK(F206, $F$6:$F$262)+COUNTIF($F$6:F206, F206)-1, 0))</f>
        <v/>
      </c>
      <c r="J206" s="35" t="str">
        <f>IFERROR((IF(I206= 0, COUNTIF($I$6:I206, 0), "")+MAX($I$6:$I$262)), "")</f>
        <v/>
      </c>
      <c r="K206" s="35" t="str">
        <f t="shared" si="14"/>
        <v/>
      </c>
      <c r="N206" s="34">
        <v>201</v>
      </c>
      <c r="O206" s="33" t="str">
        <f t="shared" si="15"/>
        <v/>
      </c>
    </row>
    <row r="207" spans="2:15" x14ac:dyDescent="0.25">
      <c r="B207" s="35" t="str">
        <f>IF(Control!$O210="","",INDEX(MemberOrg_Data[CFDA], Control!$O210))</f>
        <v/>
      </c>
      <c r="C207" s="35" t="str">
        <f t="array" ref="C207">IFERROR(INDEX(MemberOrg_Data[FEDERALPROGRAMNAME], MATCH(1, (SelectMemberOrg = MemberOrg_Data[Auditee Name])*(B207 = MemberOrg_Data[CFDA]), 0)), "")</f>
        <v/>
      </c>
      <c r="D207" s="36" t="str">
        <f>IFERROR(IF(B207 &lt;&gt; "", SUMIFS(MemberOrg_Data[Total Amount], MemberOrg_Data[Auditee Name], SelectMemberOrg, MemberOrg_Data[CFDA], B207), ""), "")</f>
        <v/>
      </c>
      <c r="E207" s="37" t="str">
        <f>IFERROR(INDEX(BudgetApprop_Data[President: % Change from 2019], MATCH(B207, BudgetApprop_Data[CFDA], 0)), "")</f>
        <v/>
      </c>
      <c r="F207" s="36" t="str">
        <f t="shared" si="12"/>
        <v/>
      </c>
      <c r="G207" s="46" t="str">
        <f>IFERROR(INDEX(BudgetApprop_Data[House: % Change from 2019], MATCH(FPWA_HelperTable[[#This Row],[CFDA]], BudgetApprop_Data[CFDA], 0)), "")</f>
        <v/>
      </c>
      <c r="H207" s="36" t="str">
        <f t="shared" si="13"/>
        <v/>
      </c>
      <c r="I207" s="35" t="str">
        <f>IF(B207 = "", "", IF(FPWA_HelperTable[[#This Row],[President $ Change]]&lt;&gt;"", RANK(F207, $F$6:$F$262)+COUNTIF($F$6:F207, F207)-1, 0))</f>
        <v/>
      </c>
      <c r="J207" s="35" t="str">
        <f>IFERROR((IF(I207= 0, COUNTIF($I$6:I207, 0), "")+MAX($I$6:$I$262)), "")</f>
        <v/>
      </c>
      <c r="K207" s="35" t="str">
        <f t="shared" si="14"/>
        <v/>
      </c>
      <c r="N207" s="34">
        <v>202</v>
      </c>
      <c r="O207" s="33" t="str">
        <f t="shared" si="15"/>
        <v/>
      </c>
    </row>
    <row r="208" spans="2:15" x14ac:dyDescent="0.25">
      <c r="B208" s="35" t="str">
        <f>IF(Control!$O211="","",INDEX(MemberOrg_Data[CFDA], Control!$O211))</f>
        <v/>
      </c>
      <c r="C208" s="35" t="str">
        <f t="array" ref="C208">IFERROR(INDEX(MemberOrg_Data[FEDERALPROGRAMNAME], MATCH(1, (SelectMemberOrg = MemberOrg_Data[Auditee Name])*(B208 = MemberOrg_Data[CFDA]), 0)), "")</f>
        <v/>
      </c>
      <c r="D208" s="36" t="str">
        <f>IFERROR(IF(B208 &lt;&gt; "", SUMIFS(MemberOrg_Data[Total Amount], MemberOrg_Data[Auditee Name], SelectMemberOrg, MemberOrg_Data[CFDA], B208), ""), "")</f>
        <v/>
      </c>
      <c r="E208" s="37" t="str">
        <f>IFERROR(INDEX(BudgetApprop_Data[President: % Change from 2019], MATCH(B208, BudgetApprop_Data[CFDA], 0)), "")</f>
        <v/>
      </c>
      <c r="F208" s="36" t="str">
        <f t="shared" si="12"/>
        <v/>
      </c>
      <c r="G208" s="46" t="str">
        <f>IFERROR(INDEX(BudgetApprop_Data[House: % Change from 2019], MATCH(FPWA_HelperTable[[#This Row],[CFDA]], BudgetApprop_Data[CFDA], 0)), "")</f>
        <v/>
      </c>
      <c r="H208" s="36" t="str">
        <f t="shared" si="13"/>
        <v/>
      </c>
      <c r="I208" s="35" t="str">
        <f>IF(B208 = "", "", IF(FPWA_HelperTable[[#This Row],[President $ Change]]&lt;&gt;"", RANK(F208, $F$6:$F$262)+COUNTIF($F$6:F208, F208)-1, 0))</f>
        <v/>
      </c>
      <c r="J208" s="35" t="str">
        <f>IFERROR((IF(I208= 0, COUNTIF($I$6:I208, 0), "")+MAX($I$6:$I$262)), "")</f>
        <v/>
      </c>
      <c r="K208" s="35" t="str">
        <f t="shared" si="14"/>
        <v/>
      </c>
      <c r="N208" s="34">
        <v>203</v>
      </c>
      <c r="O208" s="33" t="str">
        <f t="shared" si="15"/>
        <v/>
      </c>
    </row>
    <row r="209" spans="2:15" x14ac:dyDescent="0.25">
      <c r="B209" s="35" t="str">
        <f>IF(Control!$O212="","",INDEX(MemberOrg_Data[CFDA], Control!$O212))</f>
        <v/>
      </c>
      <c r="C209" s="35" t="str">
        <f t="array" ref="C209">IFERROR(INDEX(MemberOrg_Data[FEDERALPROGRAMNAME], MATCH(1, (SelectMemberOrg = MemberOrg_Data[Auditee Name])*(B209 = MemberOrg_Data[CFDA]), 0)), "")</f>
        <v/>
      </c>
      <c r="D209" s="36" t="str">
        <f>IFERROR(IF(B209 &lt;&gt; "", SUMIFS(MemberOrg_Data[Total Amount], MemberOrg_Data[Auditee Name], SelectMemberOrg, MemberOrg_Data[CFDA], B209), ""), "")</f>
        <v/>
      </c>
      <c r="E209" s="37" t="str">
        <f>IFERROR(INDEX(BudgetApprop_Data[President: % Change from 2019], MATCH(B209, BudgetApprop_Data[CFDA], 0)), "")</f>
        <v/>
      </c>
      <c r="F209" s="36" t="str">
        <f t="shared" si="12"/>
        <v/>
      </c>
      <c r="G209" s="46" t="str">
        <f>IFERROR(INDEX(BudgetApprop_Data[House: % Change from 2019], MATCH(FPWA_HelperTable[[#This Row],[CFDA]], BudgetApprop_Data[CFDA], 0)), "")</f>
        <v/>
      </c>
      <c r="H209" s="36" t="str">
        <f t="shared" si="13"/>
        <v/>
      </c>
      <c r="I209" s="35" t="str">
        <f>IF(B209 = "", "", IF(FPWA_HelperTable[[#This Row],[President $ Change]]&lt;&gt;"", RANK(F209, $F$6:$F$262)+COUNTIF($F$6:F209, F209)-1, 0))</f>
        <v/>
      </c>
      <c r="J209" s="35" t="str">
        <f>IFERROR((IF(I209= 0, COUNTIF($I$6:I209, 0), "")+MAX($I$6:$I$262)), "")</f>
        <v/>
      </c>
      <c r="K209" s="35" t="str">
        <f t="shared" si="14"/>
        <v/>
      </c>
      <c r="N209" s="34">
        <v>204</v>
      </c>
      <c r="O209" s="33" t="str">
        <f t="shared" si="15"/>
        <v/>
      </c>
    </row>
    <row r="210" spans="2:15" x14ac:dyDescent="0.25">
      <c r="B210" s="35" t="str">
        <f>IF(Control!$O213="","",INDEX(MemberOrg_Data[CFDA], Control!$O213))</f>
        <v/>
      </c>
      <c r="C210" s="35" t="str">
        <f t="array" ref="C210">IFERROR(INDEX(MemberOrg_Data[FEDERALPROGRAMNAME], MATCH(1, (SelectMemberOrg = MemberOrg_Data[Auditee Name])*(B210 = MemberOrg_Data[CFDA]), 0)), "")</f>
        <v/>
      </c>
      <c r="D210" s="36" t="str">
        <f>IFERROR(IF(B210 &lt;&gt; "", SUMIFS(MemberOrg_Data[Total Amount], MemberOrg_Data[Auditee Name], SelectMemberOrg, MemberOrg_Data[CFDA], B210), ""), "")</f>
        <v/>
      </c>
      <c r="E210" s="37" t="str">
        <f>IFERROR(INDEX(BudgetApprop_Data[President: % Change from 2019], MATCH(B210, BudgetApprop_Data[CFDA], 0)), "")</f>
        <v/>
      </c>
      <c r="F210" s="36" t="str">
        <f t="shared" si="12"/>
        <v/>
      </c>
      <c r="G210" s="46" t="str">
        <f>IFERROR(INDEX(BudgetApprop_Data[House: % Change from 2019], MATCH(FPWA_HelperTable[[#This Row],[CFDA]], BudgetApprop_Data[CFDA], 0)), "")</f>
        <v/>
      </c>
      <c r="H210" s="36" t="str">
        <f t="shared" si="13"/>
        <v/>
      </c>
      <c r="I210" s="35" t="str">
        <f>IF(B210 = "", "", IF(FPWA_HelperTable[[#This Row],[President $ Change]]&lt;&gt;"", RANK(F210, $F$6:$F$262)+COUNTIF($F$6:F210, F210)-1, 0))</f>
        <v/>
      </c>
      <c r="J210" s="35" t="str">
        <f>IFERROR((IF(I210= 0, COUNTIF($I$6:I210, 0), "")+MAX($I$6:$I$262)), "")</f>
        <v/>
      </c>
      <c r="K210" s="35" t="str">
        <f t="shared" si="14"/>
        <v/>
      </c>
      <c r="N210" s="34">
        <v>205</v>
      </c>
      <c r="O210" s="33" t="str">
        <f t="shared" si="15"/>
        <v/>
      </c>
    </row>
    <row r="211" spans="2:15" x14ac:dyDescent="0.25">
      <c r="B211" s="35" t="str">
        <f>IF(Control!$O214="","",INDEX(MemberOrg_Data[CFDA], Control!$O214))</f>
        <v/>
      </c>
      <c r="C211" s="35" t="str">
        <f t="array" ref="C211">IFERROR(INDEX(MemberOrg_Data[FEDERALPROGRAMNAME], MATCH(1, (SelectMemberOrg = MemberOrg_Data[Auditee Name])*(B211 = MemberOrg_Data[CFDA]), 0)), "")</f>
        <v/>
      </c>
      <c r="D211" s="36" t="str">
        <f>IFERROR(IF(B211 &lt;&gt; "", SUMIFS(MemberOrg_Data[Total Amount], MemberOrg_Data[Auditee Name], SelectMemberOrg, MemberOrg_Data[CFDA], B211), ""), "")</f>
        <v/>
      </c>
      <c r="E211" s="37" t="str">
        <f>IFERROR(INDEX(BudgetApprop_Data[President: % Change from 2019], MATCH(B211, BudgetApprop_Data[CFDA], 0)), "")</f>
        <v/>
      </c>
      <c r="F211" s="36" t="str">
        <f t="shared" si="12"/>
        <v/>
      </c>
      <c r="G211" s="46" t="str">
        <f>IFERROR(INDEX(BudgetApprop_Data[House: % Change from 2019], MATCH(FPWA_HelperTable[[#This Row],[CFDA]], BudgetApprop_Data[CFDA], 0)), "")</f>
        <v/>
      </c>
      <c r="H211" s="36" t="str">
        <f t="shared" si="13"/>
        <v/>
      </c>
      <c r="I211" s="35" t="str">
        <f>IF(B211 = "", "", IF(FPWA_HelperTable[[#This Row],[President $ Change]]&lt;&gt;"", RANK(F211, $F$6:$F$262)+COUNTIF($F$6:F211, F211)-1, 0))</f>
        <v/>
      </c>
      <c r="J211" s="35" t="str">
        <f>IFERROR((IF(I211= 0, COUNTIF($I$6:I211, 0), "")+MAX($I$6:$I$262)), "")</f>
        <v/>
      </c>
      <c r="K211" s="35" t="str">
        <f t="shared" si="14"/>
        <v/>
      </c>
      <c r="N211" s="34">
        <v>206</v>
      </c>
      <c r="O211" s="33" t="str">
        <f t="shared" si="15"/>
        <v/>
      </c>
    </row>
    <row r="212" spans="2:15" x14ac:dyDescent="0.25">
      <c r="B212" s="35" t="str">
        <f>IF(Control!$O215="","",INDEX(MemberOrg_Data[CFDA], Control!$O215))</f>
        <v/>
      </c>
      <c r="C212" s="35" t="str">
        <f t="array" ref="C212">IFERROR(INDEX(MemberOrg_Data[FEDERALPROGRAMNAME], MATCH(1, (SelectMemberOrg = MemberOrg_Data[Auditee Name])*(B212 = MemberOrg_Data[CFDA]), 0)), "")</f>
        <v/>
      </c>
      <c r="D212" s="36" t="str">
        <f>IFERROR(IF(B212 &lt;&gt; "", SUMIFS(MemberOrg_Data[Total Amount], MemberOrg_Data[Auditee Name], SelectMemberOrg, MemberOrg_Data[CFDA], B212), ""), "")</f>
        <v/>
      </c>
      <c r="E212" s="37" t="str">
        <f>IFERROR(INDEX(BudgetApprop_Data[President: % Change from 2019], MATCH(B212, BudgetApprop_Data[CFDA], 0)), "")</f>
        <v/>
      </c>
      <c r="F212" s="36" t="str">
        <f t="shared" si="12"/>
        <v/>
      </c>
      <c r="G212" s="46" t="str">
        <f>IFERROR(INDEX(BudgetApprop_Data[House: % Change from 2019], MATCH(FPWA_HelperTable[[#This Row],[CFDA]], BudgetApprop_Data[CFDA], 0)), "")</f>
        <v/>
      </c>
      <c r="H212" s="36" t="str">
        <f t="shared" si="13"/>
        <v/>
      </c>
      <c r="I212" s="35" t="str">
        <f>IF(B212 = "", "", IF(FPWA_HelperTable[[#This Row],[President $ Change]]&lt;&gt;"", RANK(F212, $F$6:$F$262)+COUNTIF($F$6:F212, F212)-1, 0))</f>
        <v/>
      </c>
      <c r="J212" s="35" t="str">
        <f>IFERROR((IF(I212= 0, COUNTIF($I$6:I212, 0), "")+MAX($I$6:$I$262)), "")</f>
        <v/>
      </c>
      <c r="K212" s="35" t="str">
        <f t="shared" si="14"/>
        <v/>
      </c>
      <c r="N212" s="34">
        <v>207</v>
      </c>
      <c r="O212" s="33" t="str">
        <f t="shared" si="15"/>
        <v/>
      </c>
    </row>
    <row r="213" spans="2:15" x14ac:dyDescent="0.25">
      <c r="B213" s="35" t="str">
        <f>IF(Control!$O216="","",INDEX(MemberOrg_Data[CFDA], Control!$O216))</f>
        <v/>
      </c>
      <c r="C213" s="35" t="str">
        <f t="array" ref="C213">IFERROR(INDEX(MemberOrg_Data[FEDERALPROGRAMNAME], MATCH(1, (SelectMemberOrg = MemberOrg_Data[Auditee Name])*(B213 = MemberOrg_Data[CFDA]), 0)), "")</f>
        <v/>
      </c>
      <c r="D213" s="36" t="str">
        <f>IFERROR(IF(B213 &lt;&gt; "", SUMIFS(MemberOrg_Data[Total Amount], MemberOrg_Data[Auditee Name], SelectMemberOrg, MemberOrg_Data[CFDA], B213), ""), "")</f>
        <v/>
      </c>
      <c r="E213" s="37" t="str">
        <f>IFERROR(INDEX(BudgetApprop_Data[President: % Change from 2019], MATCH(B213, BudgetApprop_Data[CFDA], 0)), "")</f>
        <v/>
      </c>
      <c r="F213" s="36" t="str">
        <f t="shared" si="12"/>
        <v/>
      </c>
      <c r="G213" s="46" t="str">
        <f>IFERROR(INDEX(BudgetApprop_Data[House: % Change from 2019], MATCH(FPWA_HelperTable[[#This Row],[CFDA]], BudgetApprop_Data[CFDA], 0)), "")</f>
        <v/>
      </c>
      <c r="H213" s="36" t="str">
        <f t="shared" si="13"/>
        <v/>
      </c>
      <c r="I213" s="35" t="str">
        <f>IF(B213 = "", "", IF(FPWA_HelperTable[[#This Row],[President $ Change]]&lt;&gt;"", RANK(F213, $F$6:$F$262)+COUNTIF($F$6:F213, F213)-1, 0))</f>
        <v/>
      </c>
      <c r="J213" s="35" t="str">
        <f>IFERROR((IF(I213= 0, COUNTIF($I$6:I213, 0), "")+MAX($I$6:$I$262)), "")</f>
        <v/>
      </c>
      <c r="K213" s="35" t="str">
        <f t="shared" si="14"/>
        <v/>
      </c>
      <c r="N213" s="34">
        <v>208</v>
      </c>
      <c r="O213" s="33" t="str">
        <f t="shared" si="15"/>
        <v/>
      </c>
    </row>
    <row r="214" spans="2:15" x14ac:dyDescent="0.25">
      <c r="B214" s="35" t="str">
        <f>IF(Control!$O217="","",INDEX(MemberOrg_Data[CFDA], Control!$O217))</f>
        <v/>
      </c>
      <c r="C214" s="35" t="str">
        <f t="array" ref="C214">IFERROR(INDEX(MemberOrg_Data[FEDERALPROGRAMNAME], MATCH(1, (SelectMemberOrg = MemberOrg_Data[Auditee Name])*(B214 = MemberOrg_Data[CFDA]), 0)), "")</f>
        <v/>
      </c>
      <c r="D214" s="36" t="str">
        <f>IFERROR(IF(B214 &lt;&gt; "", SUMIFS(MemberOrg_Data[Total Amount], MemberOrg_Data[Auditee Name], SelectMemberOrg, MemberOrg_Data[CFDA], B214), ""), "")</f>
        <v/>
      </c>
      <c r="E214" s="37" t="str">
        <f>IFERROR(INDEX(BudgetApprop_Data[President: % Change from 2019], MATCH(B214, BudgetApprop_Data[CFDA], 0)), "")</f>
        <v/>
      </c>
      <c r="F214" s="36" t="str">
        <f t="shared" si="12"/>
        <v/>
      </c>
      <c r="G214" s="46" t="str">
        <f>IFERROR(INDEX(BudgetApprop_Data[House: % Change from 2019], MATCH(FPWA_HelperTable[[#This Row],[CFDA]], BudgetApprop_Data[CFDA], 0)), "")</f>
        <v/>
      </c>
      <c r="H214" s="36" t="str">
        <f t="shared" si="13"/>
        <v/>
      </c>
      <c r="I214" s="35" t="str">
        <f>IF(B214 = "", "", IF(FPWA_HelperTable[[#This Row],[President $ Change]]&lt;&gt;"", RANK(F214, $F$6:$F$262)+COUNTIF($F$6:F214, F214)-1, 0))</f>
        <v/>
      </c>
      <c r="J214" s="35" t="str">
        <f>IFERROR((IF(I214= 0, COUNTIF($I$6:I214, 0), "")+MAX($I$6:$I$262)), "")</f>
        <v/>
      </c>
      <c r="K214" s="35" t="str">
        <f t="shared" si="14"/>
        <v/>
      </c>
      <c r="N214" s="34">
        <v>209</v>
      </c>
      <c r="O214" s="33" t="str">
        <f t="shared" si="15"/>
        <v/>
      </c>
    </row>
    <row r="215" spans="2:15" x14ac:dyDescent="0.25">
      <c r="B215" s="35" t="str">
        <f>IF(Control!$O218="","",INDEX(MemberOrg_Data[CFDA], Control!$O218))</f>
        <v/>
      </c>
      <c r="C215" s="35" t="str">
        <f t="array" ref="C215">IFERROR(INDEX(MemberOrg_Data[FEDERALPROGRAMNAME], MATCH(1, (SelectMemberOrg = MemberOrg_Data[Auditee Name])*(B215 = MemberOrg_Data[CFDA]), 0)), "")</f>
        <v/>
      </c>
      <c r="D215" s="36" t="str">
        <f>IFERROR(IF(B215 &lt;&gt; "", SUMIFS(MemberOrg_Data[Total Amount], MemberOrg_Data[Auditee Name], SelectMemberOrg, MemberOrg_Data[CFDA], B215), ""), "")</f>
        <v/>
      </c>
      <c r="E215" s="37" t="str">
        <f>IFERROR(INDEX(BudgetApprop_Data[President: % Change from 2019], MATCH(B215, BudgetApprop_Data[CFDA], 0)), "")</f>
        <v/>
      </c>
      <c r="F215" s="36" t="str">
        <f t="shared" si="12"/>
        <v/>
      </c>
      <c r="G215" s="46" t="str">
        <f>IFERROR(INDEX(BudgetApprop_Data[House: % Change from 2019], MATCH(FPWA_HelperTable[[#This Row],[CFDA]], BudgetApprop_Data[CFDA], 0)), "")</f>
        <v/>
      </c>
      <c r="H215" s="36" t="str">
        <f t="shared" si="13"/>
        <v/>
      </c>
      <c r="I215" s="35" t="str">
        <f>IF(B215 = "", "", IF(FPWA_HelperTable[[#This Row],[President $ Change]]&lt;&gt;"", RANK(F215, $F$6:$F$262)+COUNTIF($F$6:F215, F215)-1, 0))</f>
        <v/>
      </c>
      <c r="J215" s="35" t="str">
        <f>IFERROR((IF(I215= 0, COUNTIF($I$6:I215, 0), "")+MAX($I$6:$I$262)), "")</f>
        <v/>
      </c>
      <c r="K215" s="35" t="str">
        <f t="shared" si="14"/>
        <v/>
      </c>
      <c r="N215" s="34">
        <v>210</v>
      </c>
      <c r="O215" s="33" t="str">
        <f t="shared" si="15"/>
        <v/>
      </c>
    </row>
    <row r="216" spans="2:15" x14ac:dyDescent="0.25">
      <c r="B216" s="35" t="str">
        <f>IF(Control!$O219="","",INDEX(MemberOrg_Data[CFDA], Control!$O219))</f>
        <v/>
      </c>
      <c r="C216" s="35" t="str">
        <f t="array" ref="C216">IFERROR(INDEX(MemberOrg_Data[FEDERALPROGRAMNAME], MATCH(1, (SelectMemberOrg = MemberOrg_Data[Auditee Name])*(B216 = MemberOrg_Data[CFDA]), 0)), "")</f>
        <v/>
      </c>
      <c r="D216" s="36" t="str">
        <f>IFERROR(IF(B216 &lt;&gt; "", SUMIFS(MemberOrg_Data[Total Amount], MemberOrg_Data[Auditee Name], SelectMemberOrg, MemberOrg_Data[CFDA], B216), ""), "")</f>
        <v/>
      </c>
      <c r="E216" s="37" t="str">
        <f>IFERROR(INDEX(BudgetApprop_Data[President: % Change from 2019], MATCH(B216, BudgetApprop_Data[CFDA], 0)), "")</f>
        <v/>
      </c>
      <c r="F216" s="36" t="str">
        <f t="shared" si="12"/>
        <v/>
      </c>
      <c r="G216" s="46" t="str">
        <f>IFERROR(INDEX(BudgetApprop_Data[House: % Change from 2019], MATCH(FPWA_HelperTable[[#This Row],[CFDA]], BudgetApprop_Data[CFDA], 0)), "")</f>
        <v/>
      </c>
      <c r="H216" s="36" t="str">
        <f t="shared" si="13"/>
        <v/>
      </c>
      <c r="I216" s="35" t="str">
        <f>IF(B216 = "", "", IF(FPWA_HelperTable[[#This Row],[President $ Change]]&lt;&gt;"", RANK(F216, $F$6:$F$262)+COUNTIF($F$6:F216, F216)-1, 0))</f>
        <v/>
      </c>
      <c r="J216" s="35" t="str">
        <f>IFERROR((IF(I216= 0, COUNTIF($I$6:I216, 0), "")+MAX($I$6:$I$262)), "")</f>
        <v/>
      </c>
      <c r="K216" s="35" t="str">
        <f t="shared" si="14"/>
        <v/>
      </c>
      <c r="N216" s="34">
        <v>211</v>
      </c>
      <c r="O216" s="33" t="str">
        <f t="shared" si="15"/>
        <v/>
      </c>
    </row>
    <row r="217" spans="2:15" x14ac:dyDescent="0.25">
      <c r="B217" s="35" t="str">
        <f>IF(Control!$O220="","",INDEX(MemberOrg_Data[CFDA], Control!$O220))</f>
        <v/>
      </c>
      <c r="C217" s="35" t="str">
        <f t="array" ref="C217">IFERROR(INDEX(MemberOrg_Data[FEDERALPROGRAMNAME], MATCH(1, (SelectMemberOrg = MemberOrg_Data[Auditee Name])*(B217 = MemberOrg_Data[CFDA]), 0)), "")</f>
        <v/>
      </c>
      <c r="D217" s="36" t="str">
        <f>IFERROR(IF(B217 &lt;&gt; "", SUMIFS(MemberOrg_Data[Total Amount], MemberOrg_Data[Auditee Name], SelectMemberOrg, MemberOrg_Data[CFDA], B217), ""), "")</f>
        <v/>
      </c>
      <c r="E217" s="37" t="str">
        <f>IFERROR(INDEX(BudgetApprop_Data[President: % Change from 2019], MATCH(B217, BudgetApprop_Data[CFDA], 0)), "")</f>
        <v/>
      </c>
      <c r="F217" s="36" t="str">
        <f t="shared" si="12"/>
        <v/>
      </c>
      <c r="G217" s="46" t="str">
        <f>IFERROR(INDEX(BudgetApprop_Data[House: % Change from 2019], MATCH(FPWA_HelperTable[[#This Row],[CFDA]], BudgetApprop_Data[CFDA], 0)), "")</f>
        <v/>
      </c>
      <c r="H217" s="36" t="str">
        <f t="shared" si="13"/>
        <v/>
      </c>
      <c r="I217" s="35" t="str">
        <f>IF(B217 = "", "", IF(FPWA_HelperTable[[#This Row],[President $ Change]]&lt;&gt;"", RANK(F217, $F$6:$F$262)+COUNTIF($F$6:F217, F217)-1, 0))</f>
        <v/>
      </c>
      <c r="J217" s="35" t="str">
        <f>IFERROR((IF(I217= 0, COUNTIF($I$6:I217, 0), "")+MAX($I$6:$I$262)), "")</f>
        <v/>
      </c>
      <c r="K217" s="35" t="str">
        <f t="shared" si="14"/>
        <v/>
      </c>
      <c r="N217" s="34">
        <v>212</v>
      </c>
      <c r="O217" s="33" t="str">
        <f t="shared" si="15"/>
        <v/>
      </c>
    </row>
    <row r="218" spans="2:15" x14ac:dyDescent="0.25">
      <c r="B218" s="35" t="str">
        <f>IF(Control!$O221="","",INDEX(MemberOrg_Data[CFDA], Control!$O221))</f>
        <v/>
      </c>
      <c r="C218" s="35" t="str">
        <f t="array" ref="C218">IFERROR(INDEX(MemberOrg_Data[FEDERALPROGRAMNAME], MATCH(1, (SelectMemberOrg = MemberOrg_Data[Auditee Name])*(B218 = MemberOrg_Data[CFDA]), 0)), "")</f>
        <v/>
      </c>
      <c r="D218" s="36" t="str">
        <f>IFERROR(IF(B218 &lt;&gt; "", SUMIFS(MemberOrg_Data[Total Amount], MemberOrg_Data[Auditee Name], SelectMemberOrg, MemberOrg_Data[CFDA], B218), ""), "")</f>
        <v/>
      </c>
      <c r="E218" s="37" t="str">
        <f>IFERROR(INDEX(BudgetApprop_Data[President: % Change from 2019], MATCH(B218, BudgetApprop_Data[CFDA], 0)), "")</f>
        <v/>
      </c>
      <c r="F218" s="36" t="str">
        <f t="shared" si="12"/>
        <v/>
      </c>
      <c r="G218" s="46" t="str">
        <f>IFERROR(INDEX(BudgetApprop_Data[House: % Change from 2019], MATCH(FPWA_HelperTable[[#This Row],[CFDA]], BudgetApprop_Data[CFDA], 0)), "")</f>
        <v/>
      </c>
      <c r="H218" s="36" t="str">
        <f t="shared" si="13"/>
        <v/>
      </c>
      <c r="I218" s="35" t="str">
        <f>IF(B218 = "", "", IF(FPWA_HelperTable[[#This Row],[President $ Change]]&lt;&gt;"", RANK(F218, $F$6:$F$262)+COUNTIF($F$6:F218, F218)-1, 0))</f>
        <v/>
      </c>
      <c r="J218" s="35" t="str">
        <f>IFERROR((IF(I218= 0, COUNTIF($I$6:I218, 0), "")+MAX($I$6:$I$262)), "")</f>
        <v/>
      </c>
      <c r="K218" s="35" t="str">
        <f t="shared" si="14"/>
        <v/>
      </c>
      <c r="N218" s="34">
        <v>213</v>
      </c>
      <c r="O218" s="33" t="str">
        <f t="shared" si="15"/>
        <v/>
      </c>
    </row>
    <row r="219" spans="2:15" x14ac:dyDescent="0.25">
      <c r="B219" s="35" t="str">
        <f>IF(Control!$O222="","",INDEX(MemberOrg_Data[CFDA], Control!$O222))</f>
        <v/>
      </c>
      <c r="C219" s="35" t="str">
        <f t="array" ref="C219">IFERROR(INDEX(MemberOrg_Data[FEDERALPROGRAMNAME], MATCH(1, (SelectMemberOrg = MemberOrg_Data[Auditee Name])*(B219 = MemberOrg_Data[CFDA]), 0)), "")</f>
        <v/>
      </c>
      <c r="D219" s="36" t="str">
        <f>IFERROR(IF(B219 &lt;&gt; "", SUMIFS(MemberOrg_Data[Total Amount], MemberOrg_Data[Auditee Name], SelectMemberOrg, MemberOrg_Data[CFDA], B219), ""), "")</f>
        <v/>
      </c>
      <c r="E219" s="37" t="str">
        <f>IFERROR(INDEX(BudgetApprop_Data[President: % Change from 2019], MATCH(B219, BudgetApprop_Data[CFDA], 0)), "")</f>
        <v/>
      </c>
      <c r="F219" s="36" t="str">
        <f t="shared" si="12"/>
        <v/>
      </c>
      <c r="G219" s="46" t="str">
        <f>IFERROR(INDEX(BudgetApprop_Data[House: % Change from 2019], MATCH(FPWA_HelperTable[[#This Row],[CFDA]], BudgetApprop_Data[CFDA], 0)), "")</f>
        <v/>
      </c>
      <c r="H219" s="36" t="str">
        <f t="shared" si="13"/>
        <v/>
      </c>
      <c r="I219" s="35" t="str">
        <f>IF(B219 = "", "", IF(FPWA_HelperTable[[#This Row],[President $ Change]]&lt;&gt;"", RANK(F219, $F$6:$F$262)+COUNTIF($F$6:F219, F219)-1, 0))</f>
        <v/>
      </c>
      <c r="J219" s="35" t="str">
        <f>IFERROR((IF(I219= 0, COUNTIF($I$6:I219, 0), "")+MAX($I$6:$I$262)), "")</f>
        <v/>
      </c>
      <c r="K219" s="35" t="str">
        <f t="shared" si="14"/>
        <v/>
      </c>
      <c r="N219" s="34">
        <v>214</v>
      </c>
      <c r="O219" s="33" t="str">
        <f t="shared" si="15"/>
        <v/>
      </c>
    </row>
    <row r="220" spans="2:15" x14ac:dyDescent="0.25">
      <c r="B220" s="35" t="str">
        <f>IF(Control!$O223="","",INDEX(MemberOrg_Data[CFDA], Control!$O223))</f>
        <v/>
      </c>
      <c r="C220" s="35" t="str">
        <f t="array" ref="C220">IFERROR(INDEX(MemberOrg_Data[FEDERALPROGRAMNAME], MATCH(1, (SelectMemberOrg = MemberOrg_Data[Auditee Name])*(B220 = MemberOrg_Data[CFDA]), 0)), "")</f>
        <v/>
      </c>
      <c r="D220" s="36" t="str">
        <f>IFERROR(IF(B220 &lt;&gt; "", SUMIFS(MemberOrg_Data[Total Amount], MemberOrg_Data[Auditee Name], SelectMemberOrg, MemberOrg_Data[CFDA], B220), ""), "")</f>
        <v/>
      </c>
      <c r="E220" s="37" t="str">
        <f>IFERROR(INDEX(BudgetApprop_Data[President: % Change from 2019], MATCH(B220, BudgetApprop_Data[CFDA], 0)), "")</f>
        <v/>
      </c>
      <c r="F220" s="36" t="str">
        <f t="shared" si="12"/>
        <v/>
      </c>
      <c r="G220" s="46" t="str">
        <f>IFERROR(INDEX(BudgetApprop_Data[House: % Change from 2019], MATCH(FPWA_HelperTable[[#This Row],[CFDA]], BudgetApprop_Data[CFDA], 0)), "")</f>
        <v/>
      </c>
      <c r="H220" s="36" t="str">
        <f t="shared" si="13"/>
        <v/>
      </c>
      <c r="I220" s="35" t="str">
        <f>IF(B220 = "", "", IF(FPWA_HelperTable[[#This Row],[President $ Change]]&lt;&gt;"", RANK(F220, $F$6:$F$262)+COUNTIF($F$6:F220, F220)-1, 0))</f>
        <v/>
      </c>
      <c r="J220" s="35" t="str">
        <f>IFERROR((IF(I220= 0, COUNTIF($I$6:I220, 0), "")+MAX($I$6:$I$262)), "")</f>
        <v/>
      </c>
      <c r="K220" s="35" t="str">
        <f t="shared" si="14"/>
        <v/>
      </c>
      <c r="N220" s="34">
        <v>215</v>
      </c>
      <c r="O220" s="33" t="str">
        <f t="shared" si="15"/>
        <v/>
      </c>
    </row>
    <row r="221" spans="2:15" x14ac:dyDescent="0.25">
      <c r="B221" s="35" t="str">
        <f>IF(Control!$O224="","",INDEX(MemberOrg_Data[CFDA], Control!$O224))</f>
        <v/>
      </c>
      <c r="C221" s="35" t="str">
        <f t="array" ref="C221">IFERROR(INDEX(MemberOrg_Data[FEDERALPROGRAMNAME], MATCH(1, (SelectMemberOrg = MemberOrg_Data[Auditee Name])*(B221 = MemberOrg_Data[CFDA]), 0)), "")</f>
        <v/>
      </c>
      <c r="D221" s="36" t="str">
        <f>IFERROR(IF(B221 &lt;&gt; "", SUMIFS(MemberOrg_Data[Total Amount], MemberOrg_Data[Auditee Name], SelectMemberOrg, MemberOrg_Data[CFDA], B221), ""), "")</f>
        <v/>
      </c>
      <c r="E221" s="37" t="str">
        <f>IFERROR(INDEX(BudgetApprop_Data[President: % Change from 2019], MATCH(B221, BudgetApprop_Data[CFDA], 0)), "")</f>
        <v/>
      </c>
      <c r="F221" s="36" t="str">
        <f t="shared" si="12"/>
        <v/>
      </c>
      <c r="G221" s="46" t="str">
        <f>IFERROR(INDEX(BudgetApprop_Data[House: % Change from 2019], MATCH(FPWA_HelperTable[[#This Row],[CFDA]], BudgetApprop_Data[CFDA], 0)), "")</f>
        <v/>
      </c>
      <c r="H221" s="36" t="str">
        <f t="shared" si="13"/>
        <v/>
      </c>
      <c r="I221" s="35" t="str">
        <f>IF(B221 = "", "", IF(FPWA_HelperTable[[#This Row],[President $ Change]]&lt;&gt;"", RANK(F221, $F$6:$F$262)+COUNTIF($F$6:F221, F221)-1, 0))</f>
        <v/>
      </c>
      <c r="J221" s="35" t="str">
        <f>IFERROR((IF(I221= 0, COUNTIF($I$6:I221, 0), "")+MAX($I$6:$I$262)), "")</f>
        <v/>
      </c>
      <c r="K221" s="35" t="str">
        <f t="shared" si="14"/>
        <v/>
      </c>
      <c r="N221" s="34">
        <v>216</v>
      </c>
      <c r="O221" s="33" t="str">
        <f t="shared" si="15"/>
        <v/>
      </c>
    </row>
    <row r="222" spans="2:15" x14ac:dyDescent="0.25">
      <c r="B222" s="35" t="str">
        <f>IF(Control!$O225="","",INDEX(MemberOrg_Data[CFDA], Control!$O225))</f>
        <v/>
      </c>
      <c r="C222" s="35" t="str">
        <f t="array" ref="C222">IFERROR(INDEX(MemberOrg_Data[FEDERALPROGRAMNAME], MATCH(1, (SelectMemberOrg = MemberOrg_Data[Auditee Name])*(B222 = MemberOrg_Data[CFDA]), 0)), "")</f>
        <v/>
      </c>
      <c r="D222" s="36" t="str">
        <f>IFERROR(IF(B222 &lt;&gt; "", SUMIFS(MemberOrg_Data[Total Amount], MemberOrg_Data[Auditee Name], SelectMemberOrg, MemberOrg_Data[CFDA], B222), ""), "")</f>
        <v/>
      </c>
      <c r="E222" s="37" t="str">
        <f>IFERROR(INDEX(BudgetApprop_Data[President: % Change from 2019], MATCH(B222, BudgetApprop_Data[CFDA], 0)), "")</f>
        <v/>
      </c>
      <c r="F222" s="36" t="str">
        <f t="shared" si="12"/>
        <v/>
      </c>
      <c r="G222" s="46" t="str">
        <f>IFERROR(INDEX(BudgetApprop_Data[House: % Change from 2019], MATCH(FPWA_HelperTable[[#This Row],[CFDA]], BudgetApprop_Data[CFDA], 0)), "")</f>
        <v/>
      </c>
      <c r="H222" s="36" t="str">
        <f t="shared" si="13"/>
        <v/>
      </c>
      <c r="I222" s="35" t="str">
        <f>IF(B222 = "", "", IF(FPWA_HelperTable[[#This Row],[President $ Change]]&lt;&gt;"", RANK(F222, $F$6:$F$262)+COUNTIF($F$6:F222, F222)-1, 0))</f>
        <v/>
      </c>
      <c r="J222" s="35" t="str">
        <f>IFERROR((IF(I222= 0, COUNTIF($I$6:I222, 0), "")+MAX($I$6:$I$262)), "")</f>
        <v/>
      </c>
      <c r="K222" s="35" t="str">
        <f t="shared" si="14"/>
        <v/>
      </c>
      <c r="N222" s="34">
        <v>217</v>
      </c>
      <c r="O222" s="33" t="str">
        <f t="shared" si="15"/>
        <v/>
      </c>
    </row>
    <row r="223" spans="2:15" x14ac:dyDescent="0.25">
      <c r="B223" s="35" t="str">
        <f>IF(Control!$O226="","",INDEX(MemberOrg_Data[CFDA], Control!$O226))</f>
        <v/>
      </c>
      <c r="C223" s="35" t="str">
        <f t="array" ref="C223">IFERROR(INDEX(MemberOrg_Data[FEDERALPROGRAMNAME], MATCH(1, (SelectMemberOrg = MemberOrg_Data[Auditee Name])*(B223 = MemberOrg_Data[CFDA]), 0)), "")</f>
        <v/>
      </c>
      <c r="D223" s="36" t="str">
        <f>IFERROR(IF(B223 &lt;&gt; "", SUMIFS(MemberOrg_Data[Total Amount], MemberOrg_Data[Auditee Name], SelectMemberOrg, MemberOrg_Data[CFDA], B223), ""), "")</f>
        <v/>
      </c>
      <c r="E223" s="37" t="str">
        <f>IFERROR(INDEX(BudgetApprop_Data[President: % Change from 2019], MATCH(B223, BudgetApprop_Data[CFDA], 0)), "")</f>
        <v/>
      </c>
      <c r="F223" s="36" t="str">
        <f t="shared" si="12"/>
        <v/>
      </c>
      <c r="G223" s="46" t="str">
        <f>IFERROR(INDEX(BudgetApprop_Data[House: % Change from 2019], MATCH(FPWA_HelperTable[[#This Row],[CFDA]], BudgetApprop_Data[CFDA], 0)), "")</f>
        <v/>
      </c>
      <c r="H223" s="36" t="str">
        <f t="shared" si="13"/>
        <v/>
      </c>
      <c r="I223" s="35" t="str">
        <f>IF(B223 = "", "", IF(FPWA_HelperTable[[#This Row],[President $ Change]]&lt;&gt;"", RANK(F223, $F$6:$F$262)+COUNTIF($F$6:F223, F223)-1, 0))</f>
        <v/>
      </c>
      <c r="J223" s="35" t="str">
        <f>IFERROR((IF(I223= 0, COUNTIF($I$6:I223, 0), "")+MAX($I$6:$I$262)), "")</f>
        <v/>
      </c>
      <c r="K223" s="35" t="str">
        <f t="shared" si="14"/>
        <v/>
      </c>
      <c r="N223" s="34">
        <v>218</v>
      </c>
      <c r="O223" s="33" t="str">
        <f t="shared" si="15"/>
        <v/>
      </c>
    </row>
    <row r="224" spans="2:15" x14ac:dyDescent="0.25">
      <c r="B224" s="35" t="str">
        <f>IF(Control!$O227="","",INDEX(MemberOrg_Data[CFDA], Control!$O227))</f>
        <v/>
      </c>
      <c r="C224" s="35" t="str">
        <f t="array" ref="C224">IFERROR(INDEX(MemberOrg_Data[FEDERALPROGRAMNAME], MATCH(1, (SelectMemberOrg = MemberOrg_Data[Auditee Name])*(B224 = MemberOrg_Data[CFDA]), 0)), "")</f>
        <v/>
      </c>
      <c r="D224" s="36" t="str">
        <f>IFERROR(IF(B224 &lt;&gt; "", SUMIFS(MemberOrg_Data[Total Amount], MemberOrg_Data[Auditee Name], SelectMemberOrg, MemberOrg_Data[CFDA], B224), ""), "")</f>
        <v/>
      </c>
      <c r="E224" s="37" t="str">
        <f>IFERROR(INDEX(BudgetApprop_Data[President: % Change from 2019], MATCH(B224, BudgetApprop_Data[CFDA], 0)), "")</f>
        <v/>
      </c>
      <c r="F224" s="36" t="str">
        <f t="shared" si="12"/>
        <v/>
      </c>
      <c r="G224" s="46" t="str">
        <f>IFERROR(INDEX(BudgetApprop_Data[House: % Change from 2019], MATCH(FPWA_HelperTable[[#This Row],[CFDA]], BudgetApprop_Data[CFDA], 0)), "")</f>
        <v/>
      </c>
      <c r="H224" s="36" t="str">
        <f t="shared" si="13"/>
        <v/>
      </c>
      <c r="I224" s="35" t="str">
        <f>IF(B224 = "", "", IF(FPWA_HelperTable[[#This Row],[President $ Change]]&lt;&gt;"", RANK(F224, $F$6:$F$262)+COUNTIF($F$6:F224, F224)-1, 0))</f>
        <v/>
      </c>
      <c r="J224" s="35" t="str">
        <f>IFERROR((IF(I224= 0, COUNTIF($I$6:I224, 0), "")+MAX($I$6:$I$262)), "")</f>
        <v/>
      </c>
      <c r="K224" s="35" t="str">
        <f t="shared" si="14"/>
        <v/>
      </c>
      <c r="N224" s="34">
        <v>219</v>
      </c>
      <c r="O224" s="33" t="str">
        <f t="shared" si="15"/>
        <v/>
      </c>
    </row>
    <row r="225" spans="2:15" x14ac:dyDescent="0.25">
      <c r="B225" s="35" t="str">
        <f>IF(Control!$O228="","",INDEX(MemberOrg_Data[CFDA], Control!$O228))</f>
        <v/>
      </c>
      <c r="C225" s="35" t="str">
        <f t="array" ref="C225">IFERROR(INDEX(MemberOrg_Data[FEDERALPROGRAMNAME], MATCH(1, (SelectMemberOrg = MemberOrg_Data[Auditee Name])*(B225 = MemberOrg_Data[CFDA]), 0)), "")</f>
        <v/>
      </c>
      <c r="D225" s="36" t="str">
        <f>IFERROR(IF(B225 &lt;&gt; "", SUMIFS(MemberOrg_Data[Total Amount], MemberOrg_Data[Auditee Name], SelectMemberOrg, MemberOrg_Data[CFDA], B225), ""), "")</f>
        <v/>
      </c>
      <c r="E225" s="37" t="str">
        <f>IFERROR(INDEX(BudgetApprop_Data[President: % Change from 2019], MATCH(B225, BudgetApprop_Data[CFDA], 0)), "")</f>
        <v/>
      </c>
      <c r="F225" s="36" t="str">
        <f t="shared" si="12"/>
        <v/>
      </c>
      <c r="G225" s="46" t="str">
        <f>IFERROR(INDEX(BudgetApprop_Data[House: % Change from 2019], MATCH(FPWA_HelperTable[[#This Row],[CFDA]], BudgetApprop_Data[CFDA], 0)), "")</f>
        <v/>
      </c>
      <c r="H225" s="36" t="str">
        <f t="shared" si="13"/>
        <v/>
      </c>
      <c r="I225" s="35" t="str">
        <f>IF(B225 = "", "", IF(FPWA_HelperTable[[#This Row],[President $ Change]]&lt;&gt;"", RANK(F225, $F$6:$F$262)+COUNTIF($F$6:F225, F225)-1, 0))</f>
        <v/>
      </c>
      <c r="J225" s="35" t="str">
        <f>IFERROR((IF(I225= 0, COUNTIF($I$6:I225, 0), "")+MAX($I$6:$I$262)), "")</f>
        <v/>
      </c>
      <c r="K225" s="35" t="str">
        <f t="shared" si="14"/>
        <v/>
      </c>
      <c r="N225" s="34">
        <v>220</v>
      </c>
      <c r="O225" s="33" t="str">
        <f t="shared" si="15"/>
        <v/>
      </c>
    </row>
    <row r="226" spans="2:15" x14ac:dyDescent="0.25">
      <c r="B226" s="35" t="str">
        <f>IF(Control!$O229="","",INDEX(MemberOrg_Data[CFDA], Control!$O229))</f>
        <v/>
      </c>
      <c r="C226" s="35" t="str">
        <f t="array" ref="C226">IFERROR(INDEX(MemberOrg_Data[FEDERALPROGRAMNAME], MATCH(1, (SelectMemberOrg = MemberOrg_Data[Auditee Name])*(B226 = MemberOrg_Data[CFDA]), 0)), "")</f>
        <v/>
      </c>
      <c r="D226" s="36" t="str">
        <f>IFERROR(IF(B226 &lt;&gt; "", SUMIFS(MemberOrg_Data[Total Amount], MemberOrg_Data[Auditee Name], SelectMemberOrg, MemberOrg_Data[CFDA], B226), ""), "")</f>
        <v/>
      </c>
      <c r="E226" s="37" t="str">
        <f>IFERROR(INDEX(BudgetApprop_Data[President: % Change from 2019], MATCH(B226, BudgetApprop_Data[CFDA], 0)), "")</f>
        <v/>
      </c>
      <c r="F226" s="36" t="str">
        <f t="shared" si="12"/>
        <v/>
      </c>
      <c r="G226" s="46" t="str">
        <f>IFERROR(INDEX(BudgetApprop_Data[House: % Change from 2019], MATCH(FPWA_HelperTable[[#This Row],[CFDA]], BudgetApprop_Data[CFDA], 0)), "")</f>
        <v/>
      </c>
      <c r="H226" s="36" t="str">
        <f t="shared" si="13"/>
        <v/>
      </c>
      <c r="I226" s="35" t="str">
        <f>IF(B226 = "", "", IF(FPWA_HelperTable[[#This Row],[President $ Change]]&lt;&gt;"", RANK(F226, $F$6:$F$262)+COUNTIF($F$6:F226, F226)-1, 0))</f>
        <v/>
      </c>
      <c r="J226" s="35" t="str">
        <f>IFERROR((IF(I226= 0, COUNTIF($I$6:I226, 0), "")+MAX($I$6:$I$262)), "")</f>
        <v/>
      </c>
      <c r="K226" s="35" t="str">
        <f t="shared" si="14"/>
        <v/>
      </c>
      <c r="N226" s="34">
        <v>221</v>
      </c>
      <c r="O226" s="33" t="str">
        <f t="shared" si="15"/>
        <v/>
      </c>
    </row>
    <row r="227" spans="2:15" x14ac:dyDescent="0.25">
      <c r="B227" s="35" t="str">
        <f>IF(Control!$O230="","",INDEX(MemberOrg_Data[CFDA], Control!$O230))</f>
        <v/>
      </c>
      <c r="C227" s="35" t="str">
        <f t="array" ref="C227">IFERROR(INDEX(MemberOrg_Data[FEDERALPROGRAMNAME], MATCH(1, (SelectMemberOrg = MemberOrg_Data[Auditee Name])*(B227 = MemberOrg_Data[CFDA]), 0)), "")</f>
        <v/>
      </c>
      <c r="D227" s="36" t="str">
        <f>IFERROR(IF(B227 &lt;&gt; "", SUMIFS(MemberOrg_Data[Total Amount], MemberOrg_Data[Auditee Name], SelectMemberOrg, MemberOrg_Data[CFDA], B227), ""), "")</f>
        <v/>
      </c>
      <c r="E227" s="37" t="str">
        <f>IFERROR(INDEX(BudgetApprop_Data[President: % Change from 2019], MATCH(B227, BudgetApprop_Data[CFDA], 0)), "")</f>
        <v/>
      </c>
      <c r="F227" s="36" t="str">
        <f t="shared" si="12"/>
        <v/>
      </c>
      <c r="G227" s="46" t="str">
        <f>IFERROR(INDEX(BudgetApprop_Data[House: % Change from 2019], MATCH(FPWA_HelperTable[[#This Row],[CFDA]], BudgetApprop_Data[CFDA], 0)), "")</f>
        <v/>
      </c>
      <c r="H227" s="36" t="str">
        <f t="shared" si="13"/>
        <v/>
      </c>
      <c r="I227" s="35" t="str">
        <f>IF(B227 = "", "", IF(FPWA_HelperTable[[#This Row],[President $ Change]]&lt;&gt;"", RANK(F227, $F$6:$F$262)+COUNTIF($F$6:F227, F227)-1, 0))</f>
        <v/>
      </c>
      <c r="J227" s="35" t="str">
        <f>IFERROR((IF(I227= 0, COUNTIF($I$6:I227, 0), "")+MAX($I$6:$I$262)), "")</f>
        <v/>
      </c>
      <c r="K227" s="35" t="str">
        <f t="shared" si="14"/>
        <v/>
      </c>
      <c r="N227" s="34">
        <v>222</v>
      </c>
      <c r="O227" s="33" t="str">
        <f t="shared" si="15"/>
        <v/>
      </c>
    </row>
    <row r="228" spans="2:15" x14ac:dyDescent="0.25">
      <c r="B228" s="35" t="str">
        <f>IF(Control!$O231="","",INDEX(MemberOrg_Data[CFDA], Control!$O231))</f>
        <v/>
      </c>
      <c r="C228" s="35" t="str">
        <f t="array" ref="C228">IFERROR(INDEX(MemberOrg_Data[FEDERALPROGRAMNAME], MATCH(1, (SelectMemberOrg = MemberOrg_Data[Auditee Name])*(B228 = MemberOrg_Data[CFDA]), 0)), "")</f>
        <v/>
      </c>
      <c r="D228" s="36" t="str">
        <f>IFERROR(IF(B228 &lt;&gt; "", SUMIFS(MemberOrg_Data[Total Amount], MemberOrg_Data[Auditee Name], SelectMemberOrg, MemberOrg_Data[CFDA], B228), ""), "")</f>
        <v/>
      </c>
      <c r="E228" s="37" t="str">
        <f>IFERROR(INDEX(BudgetApprop_Data[President: % Change from 2019], MATCH(B228, BudgetApprop_Data[CFDA], 0)), "")</f>
        <v/>
      </c>
      <c r="F228" s="36" t="str">
        <f t="shared" si="12"/>
        <v/>
      </c>
      <c r="G228" s="46" t="str">
        <f>IFERROR(INDEX(BudgetApprop_Data[House: % Change from 2019], MATCH(FPWA_HelperTable[[#This Row],[CFDA]], BudgetApprop_Data[CFDA], 0)), "")</f>
        <v/>
      </c>
      <c r="H228" s="36" t="str">
        <f t="shared" si="13"/>
        <v/>
      </c>
      <c r="I228" s="35" t="str">
        <f>IF(B228 = "", "", IF(FPWA_HelperTable[[#This Row],[President $ Change]]&lt;&gt;"", RANK(F228, $F$6:$F$262)+COUNTIF($F$6:F228, F228)-1, 0))</f>
        <v/>
      </c>
      <c r="J228" s="35" t="str">
        <f>IFERROR((IF(I228= 0, COUNTIF($I$6:I228, 0), "")+MAX($I$6:$I$262)), "")</f>
        <v/>
      </c>
      <c r="K228" s="35" t="str">
        <f t="shared" si="14"/>
        <v/>
      </c>
      <c r="N228" s="34">
        <v>223</v>
      </c>
      <c r="O228" s="33" t="str">
        <f t="shared" si="15"/>
        <v/>
      </c>
    </row>
    <row r="229" spans="2:15" x14ac:dyDescent="0.25">
      <c r="B229" s="35" t="str">
        <f>IF(Control!$O232="","",INDEX(MemberOrg_Data[CFDA], Control!$O232))</f>
        <v/>
      </c>
      <c r="C229" s="35" t="str">
        <f t="array" ref="C229">IFERROR(INDEX(MemberOrg_Data[FEDERALPROGRAMNAME], MATCH(1, (SelectMemberOrg = MemberOrg_Data[Auditee Name])*(B229 = MemberOrg_Data[CFDA]), 0)), "")</f>
        <v/>
      </c>
      <c r="D229" s="36" t="str">
        <f>IFERROR(IF(B229 &lt;&gt; "", SUMIFS(MemberOrg_Data[Total Amount], MemberOrg_Data[Auditee Name], SelectMemberOrg, MemberOrg_Data[CFDA], B229), ""), "")</f>
        <v/>
      </c>
      <c r="E229" s="37" t="str">
        <f>IFERROR(INDEX(BudgetApprop_Data[President: % Change from 2019], MATCH(B229, BudgetApprop_Data[CFDA], 0)), "")</f>
        <v/>
      </c>
      <c r="F229" s="36" t="str">
        <f t="shared" si="12"/>
        <v/>
      </c>
      <c r="G229" s="46" t="str">
        <f>IFERROR(INDEX(BudgetApprop_Data[House: % Change from 2019], MATCH(FPWA_HelperTable[[#This Row],[CFDA]], BudgetApprop_Data[CFDA], 0)), "")</f>
        <v/>
      </c>
      <c r="H229" s="36" t="str">
        <f t="shared" si="13"/>
        <v/>
      </c>
      <c r="I229" s="35" t="str">
        <f>IF(B229 = "", "", IF(FPWA_HelperTable[[#This Row],[President $ Change]]&lt;&gt;"", RANK(F229, $F$6:$F$262)+COUNTIF($F$6:F229, F229)-1, 0))</f>
        <v/>
      </c>
      <c r="J229" s="35" t="str">
        <f>IFERROR((IF(I229= 0, COUNTIF($I$6:I229, 0), "")+MAX($I$6:$I$262)), "")</f>
        <v/>
      </c>
      <c r="K229" s="35" t="str">
        <f t="shared" si="14"/>
        <v/>
      </c>
      <c r="N229" s="34">
        <v>224</v>
      </c>
      <c r="O229" s="33" t="str">
        <f t="shared" si="15"/>
        <v/>
      </c>
    </row>
    <row r="230" spans="2:15" x14ac:dyDescent="0.25">
      <c r="B230" s="35" t="str">
        <f>IF(Control!$O233="","",INDEX(MemberOrg_Data[CFDA], Control!$O233))</f>
        <v/>
      </c>
      <c r="C230" s="35" t="str">
        <f t="array" ref="C230">IFERROR(INDEX(MemberOrg_Data[FEDERALPROGRAMNAME], MATCH(1, (SelectMemberOrg = MemberOrg_Data[Auditee Name])*(B230 = MemberOrg_Data[CFDA]), 0)), "")</f>
        <v/>
      </c>
      <c r="D230" s="36" t="str">
        <f>IFERROR(IF(B230 &lt;&gt; "", SUMIFS(MemberOrg_Data[Total Amount], MemberOrg_Data[Auditee Name], SelectMemberOrg, MemberOrg_Data[CFDA], B230), ""), "")</f>
        <v/>
      </c>
      <c r="E230" s="37" t="str">
        <f>IFERROR(INDEX(BudgetApprop_Data[President: % Change from 2019], MATCH(B230, BudgetApprop_Data[CFDA], 0)), "")</f>
        <v/>
      </c>
      <c r="F230" s="36" t="str">
        <f t="shared" si="12"/>
        <v/>
      </c>
      <c r="G230" s="46" t="str">
        <f>IFERROR(INDEX(BudgetApprop_Data[House: % Change from 2019], MATCH(FPWA_HelperTable[[#This Row],[CFDA]], BudgetApprop_Data[CFDA], 0)), "")</f>
        <v/>
      </c>
      <c r="H230" s="36" t="str">
        <f t="shared" si="13"/>
        <v/>
      </c>
      <c r="I230" s="35" t="str">
        <f>IF(B230 = "", "", IF(FPWA_HelperTable[[#This Row],[President $ Change]]&lt;&gt;"", RANK(F230, $F$6:$F$262)+COUNTIF($F$6:F230, F230)-1, 0))</f>
        <v/>
      </c>
      <c r="J230" s="35" t="str">
        <f>IFERROR((IF(I230= 0, COUNTIF($I$6:I230, 0), "")+MAX($I$6:$I$262)), "")</f>
        <v/>
      </c>
      <c r="K230" s="35" t="str">
        <f t="shared" si="14"/>
        <v/>
      </c>
      <c r="N230" s="34">
        <v>225</v>
      </c>
      <c r="O230" s="33" t="str">
        <f t="shared" si="15"/>
        <v/>
      </c>
    </row>
    <row r="231" spans="2:15" x14ac:dyDescent="0.25">
      <c r="B231" s="35" t="str">
        <f>IF(Control!$O234="","",INDEX(MemberOrg_Data[CFDA], Control!$O234))</f>
        <v/>
      </c>
      <c r="C231" s="35" t="str">
        <f t="array" ref="C231">IFERROR(INDEX(MemberOrg_Data[FEDERALPROGRAMNAME], MATCH(1, (SelectMemberOrg = MemberOrg_Data[Auditee Name])*(B231 = MemberOrg_Data[CFDA]), 0)), "")</f>
        <v/>
      </c>
      <c r="D231" s="36" t="str">
        <f>IFERROR(IF(B231 &lt;&gt; "", SUMIFS(MemberOrg_Data[Total Amount], MemberOrg_Data[Auditee Name], SelectMemberOrg, MemberOrg_Data[CFDA], B231), ""), "")</f>
        <v/>
      </c>
      <c r="E231" s="37" t="str">
        <f>IFERROR(INDEX(BudgetApprop_Data[President: % Change from 2019], MATCH(B231, BudgetApprop_Data[CFDA], 0)), "")</f>
        <v/>
      </c>
      <c r="F231" s="36" t="str">
        <f t="shared" si="12"/>
        <v/>
      </c>
      <c r="G231" s="46" t="str">
        <f>IFERROR(INDEX(BudgetApprop_Data[House: % Change from 2019], MATCH(FPWA_HelperTable[[#This Row],[CFDA]], BudgetApprop_Data[CFDA], 0)), "")</f>
        <v/>
      </c>
      <c r="H231" s="36" t="str">
        <f t="shared" si="13"/>
        <v/>
      </c>
      <c r="I231" s="35" t="str">
        <f>IF(B231 = "", "", IF(FPWA_HelperTable[[#This Row],[President $ Change]]&lt;&gt;"", RANK(F231, $F$6:$F$262)+COUNTIF($F$6:F231, F231)-1, 0))</f>
        <v/>
      </c>
      <c r="J231" s="35" t="str">
        <f>IFERROR((IF(I231= 0, COUNTIF($I$6:I231, 0), "")+MAX($I$6:$I$262)), "")</f>
        <v/>
      </c>
      <c r="K231" s="35" t="str">
        <f t="shared" si="14"/>
        <v/>
      </c>
      <c r="N231" s="34">
        <v>226</v>
      </c>
      <c r="O231" s="33" t="str">
        <f t="shared" si="15"/>
        <v/>
      </c>
    </row>
    <row r="232" spans="2:15" x14ac:dyDescent="0.25">
      <c r="B232" s="35" t="str">
        <f>IF(Control!$O235="","",INDEX(MemberOrg_Data[CFDA], Control!$O235))</f>
        <v/>
      </c>
      <c r="C232" s="35" t="str">
        <f t="array" ref="C232">IFERROR(INDEX(MemberOrg_Data[FEDERALPROGRAMNAME], MATCH(1, (SelectMemberOrg = MemberOrg_Data[Auditee Name])*(B232 = MemberOrg_Data[CFDA]), 0)), "")</f>
        <v/>
      </c>
      <c r="D232" s="36" t="str">
        <f>IFERROR(IF(B232 &lt;&gt; "", SUMIFS(MemberOrg_Data[Total Amount], MemberOrg_Data[Auditee Name], SelectMemberOrg, MemberOrg_Data[CFDA], B232), ""), "")</f>
        <v/>
      </c>
      <c r="E232" s="37" t="str">
        <f>IFERROR(INDEX(BudgetApprop_Data[President: % Change from 2019], MATCH(B232, BudgetApprop_Data[CFDA], 0)), "")</f>
        <v/>
      </c>
      <c r="F232" s="36" t="str">
        <f t="shared" si="12"/>
        <v/>
      </c>
      <c r="G232" s="46" t="str">
        <f>IFERROR(INDEX(BudgetApprop_Data[House: % Change from 2019], MATCH(FPWA_HelperTable[[#This Row],[CFDA]], BudgetApprop_Data[CFDA], 0)), "")</f>
        <v/>
      </c>
      <c r="H232" s="36" t="str">
        <f t="shared" si="13"/>
        <v/>
      </c>
      <c r="I232" s="35" t="str">
        <f>IF(B232 = "", "", IF(FPWA_HelperTable[[#This Row],[President $ Change]]&lt;&gt;"", RANK(F232, $F$6:$F$262)+COUNTIF($F$6:F232, F232)-1, 0))</f>
        <v/>
      </c>
      <c r="J232" s="35" t="str">
        <f>IFERROR((IF(I232= 0, COUNTIF($I$6:I232, 0), "")+MAX($I$6:$I$262)), "")</f>
        <v/>
      </c>
      <c r="K232" s="35" t="str">
        <f t="shared" si="14"/>
        <v/>
      </c>
      <c r="N232" s="34">
        <v>227</v>
      </c>
      <c r="O232" s="33" t="str">
        <f t="shared" si="15"/>
        <v/>
      </c>
    </row>
    <row r="233" spans="2:15" x14ac:dyDescent="0.25">
      <c r="B233" s="35" t="str">
        <f>IF(Control!$O236="","",INDEX(MemberOrg_Data[CFDA], Control!$O236))</f>
        <v/>
      </c>
      <c r="C233" s="35" t="str">
        <f t="array" ref="C233">IFERROR(INDEX(MemberOrg_Data[FEDERALPROGRAMNAME], MATCH(1, (SelectMemberOrg = MemberOrg_Data[Auditee Name])*(B233 = MemberOrg_Data[CFDA]), 0)), "")</f>
        <v/>
      </c>
      <c r="D233" s="36" t="str">
        <f>IFERROR(IF(B233 &lt;&gt; "", SUMIFS(MemberOrg_Data[Total Amount], MemberOrg_Data[Auditee Name], SelectMemberOrg, MemberOrg_Data[CFDA], B233), ""), "")</f>
        <v/>
      </c>
      <c r="E233" s="37" t="str">
        <f>IFERROR(INDEX(BudgetApprop_Data[President: % Change from 2019], MATCH(B233, BudgetApprop_Data[CFDA], 0)), "")</f>
        <v/>
      </c>
      <c r="F233" s="36" t="str">
        <f t="shared" si="12"/>
        <v/>
      </c>
      <c r="G233" s="46" t="str">
        <f>IFERROR(INDEX(BudgetApprop_Data[House: % Change from 2019], MATCH(FPWA_HelperTable[[#This Row],[CFDA]], BudgetApprop_Data[CFDA], 0)), "")</f>
        <v/>
      </c>
      <c r="H233" s="36" t="str">
        <f t="shared" si="13"/>
        <v/>
      </c>
      <c r="I233" s="35" t="str">
        <f>IF(B233 = "", "", IF(FPWA_HelperTable[[#This Row],[President $ Change]]&lt;&gt;"", RANK(F233, $F$6:$F$262)+COUNTIF($F$6:F233, F233)-1, 0))</f>
        <v/>
      </c>
      <c r="J233" s="35" t="str">
        <f>IFERROR((IF(I233= 0, COUNTIF($I$6:I233, 0), "")+MAX($I$6:$I$262)), "")</f>
        <v/>
      </c>
      <c r="K233" s="35" t="str">
        <f t="shared" si="14"/>
        <v/>
      </c>
      <c r="N233" s="34">
        <v>228</v>
      </c>
      <c r="O233" s="33" t="str">
        <f t="shared" si="15"/>
        <v/>
      </c>
    </row>
    <row r="234" spans="2:15" x14ac:dyDescent="0.25">
      <c r="B234" s="35" t="str">
        <f>IF(Control!$O237="","",INDEX(MemberOrg_Data[CFDA], Control!$O237))</f>
        <v/>
      </c>
      <c r="C234" s="35" t="str">
        <f t="array" ref="C234">IFERROR(INDEX(MemberOrg_Data[FEDERALPROGRAMNAME], MATCH(1, (SelectMemberOrg = MemberOrg_Data[Auditee Name])*(B234 = MemberOrg_Data[CFDA]), 0)), "")</f>
        <v/>
      </c>
      <c r="D234" s="36" t="str">
        <f>IFERROR(IF(B234 &lt;&gt; "", SUMIFS(MemberOrg_Data[Total Amount], MemberOrg_Data[Auditee Name], SelectMemberOrg, MemberOrg_Data[CFDA], B234), ""), "")</f>
        <v/>
      </c>
      <c r="E234" s="37" t="str">
        <f>IFERROR(INDEX(BudgetApprop_Data[President: % Change from 2019], MATCH(B234, BudgetApprop_Data[CFDA], 0)), "")</f>
        <v/>
      </c>
      <c r="F234" s="36" t="str">
        <f t="shared" si="12"/>
        <v/>
      </c>
      <c r="G234" s="46" t="str">
        <f>IFERROR(INDEX(BudgetApprop_Data[House: % Change from 2019], MATCH(FPWA_HelperTable[[#This Row],[CFDA]], BudgetApprop_Data[CFDA], 0)), "")</f>
        <v/>
      </c>
      <c r="H234" s="36" t="str">
        <f t="shared" si="13"/>
        <v/>
      </c>
      <c r="I234" s="35" t="str">
        <f>IF(B234 = "", "", IF(FPWA_HelperTable[[#This Row],[President $ Change]]&lt;&gt;"", RANK(F234, $F$6:$F$262)+COUNTIF($F$6:F234, F234)-1, 0))</f>
        <v/>
      </c>
      <c r="J234" s="35" t="str">
        <f>IFERROR((IF(I234= 0, COUNTIF($I$6:I234, 0), "")+MAX($I$6:$I$262)), "")</f>
        <v/>
      </c>
      <c r="K234" s="35" t="str">
        <f t="shared" si="14"/>
        <v/>
      </c>
      <c r="N234" s="34">
        <v>229</v>
      </c>
      <c r="O234" s="33" t="str">
        <f t="shared" si="15"/>
        <v/>
      </c>
    </row>
    <row r="235" spans="2:15" x14ac:dyDescent="0.25">
      <c r="B235" s="35" t="str">
        <f>IF(Control!$O238="","",INDEX(MemberOrg_Data[CFDA], Control!$O238))</f>
        <v/>
      </c>
      <c r="C235" s="35" t="str">
        <f t="array" ref="C235">IFERROR(INDEX(MemberOrg_Data[FEDERALPROGRAMNAME], MATCH(1, (SelectMemberOrg = MemberOrg_Data[Auditee Name])*(B235 = MemberOrg_Data[CFDA]), 0)), "")</f>
        <v/>
      </c>
      <c r="D235" s="36" t="str">
        <f>IFERROR(IF(B235 &lt;&gt; "", SUMIFS(MemberOrg_Data[Total Amount], MemberOrg_Data[Auditee Name], SelectMemberOrg, MemberOrg_Data[CFDA], B235), ""), "")</f>
        <v/>
      </c>
      <c r="E235" s="37" t="str">
        <f>IFERROR(INDEX(BudgetApprop_Data[President: % Change from 2019], MATCH(B235, BudgetApprop_Data[CFDA], 0)), "")</f>
        <v/>
      </c>
      <c r="F235" s="36" t="str">
        <f t="shared" si="12"/>
        <v/>
      </c>
      <c r="G235" s="46" t="str">
        <f>IFERROR(INDEX(BudgetApprop_Data[House: % Change from 2019], MATCH(FPWA_HelperTable[[#This Row],[CFDA]], BudgetApprop_Data[CFDA], 0)), "")</f>
        <v/>
      </c>
      <c r="H235" s="36" t="str">
        <f t="shared" si="13"/>
        <v/>
      </c>
      <c r="I235" s="35" t="str">
        <f>IF(B235 = "", "", IF(FPWA_HelperTable[[#This Row],[President $ Change]]&lt;&gt;"", RANK(F235, $F$6:$F$262)+COUNTIF($F$6:F235, F235)-1, 0))</f>
        <v/>
      </c>
      <c r="J235" s="35" t="str">
        <f>IFERROR((IF(I235= 0, COUNTIF($I$6:I235, 0), "")+MAX($I$6:$I$262)), "")</f>
        <v/>
      </c>
      <c r="K235" s="35" t="str">
        <f t="shared" si="14"/>
        <v/>
      </c>
      <c r="N235" s="34">
        <v>230</v>
      </c>
      <c r="O235" s="33" t="str">
        <f t="shared" si="15"/>
        <v/>
      </c>
    </row>
    <row r="236" spans="2:15" x14ac:dyDescent="0.25">
      <c r="B236" s="35" t="str">
        <f>IF(Control!$O239="","",INDEX(MemberOrg_Data[CFDA], Control!$O239))</f>
        <v/>
      </c>
      <c r="C236" s="35" t="str">
        <f t="array" ref="C236">IFERROR(INDEX(MemberOrg_Data[FEDERALPROGRAMNAME], MATCH(1, (SelectMemberOrg = MemberOrg_Data[Auditee Name])*(B236 = MemberOrg_Data[CFDA]), 0)), "")</f>
        <v/>
      </c>
      <c r="D236" s="36" t="str">
        <f>IFERROR(IF(B236 &lt;&gt; "", SUMIFS(MemberOrg_Data[Total Amount], MemberOrg_Data[Auditee Name], SelectMemberOrg, MemberOrg_Data[CFDA], B236), ""), "")</f>
        <v/>
      </c>
      <c r="E236" s="37" t="str">
        <f>IFERROR(INDEX(BudgetApprop_Data[President: % Change from 2019], MATCH(B236, BudgetApprop_Data[CFDA], 0)), "")</f>
        <v/>
      </c>
      <c r="F236" s="36" t="str">
        <f t="shared" si="12"/>
        <v/>
      </c>
      <c r="G236" s="46" t="str">
        <f>IFERROR(INDEX(BudgetApprop_Data[House: % Change from 2019], MATCH(FPWA_HelperTable[[#This Row],[CFDA]], BudgetApprop_Data[CFDA], 0)), "")</f>
        <v/>
      </c>
      <c r="H236" s="36" t="str">
        <f t="shared" si="13"/>
        <v/>
      </c>
      <c r="I236" s="35" t="str">
        <f>IF(B236 = "", "", IF(FPWA_HelperTable[[#This Row],[President $ Change]]&lt;&gt;"", RANK(F236, $F$6:$F$262)+COUNTIF($F$6:F236, F236)-1, 0))</f>
        <v/>
      </c>
      <c r="J236" s="35" t="str">
        <f>IFERROR((IF(I236= 0, COUNTIF($I$6:I236, 0), "")+MAX($I$6:$I$262)), "")</f>
        <v/>
      </c>
      <c r="K236" s="35" t="str">
        <f t="shared" si="14"/>
        <v/>
      </c>
      <c r="N236" s="34">
        <v>231</v>
      </c>
      <c r="O236" s="33" t="str">
        <f t="shared" si="15"/>
        <v/>
      </c>
    </row>
    <row r="237" spans="2:15" x14ac:dyDescent="0.25">
      <c r="B237" s="35" t="str">
        <f>IF(Control!$O240="","",INDEX(MemberOrg_Data[CFDA], Control!$O240))</f>
        <v/>
      </c>
      <c r="C237" s="35" t="str">
        <f t="array" ref="C237">IFERROR(INDEX(MemberOrg_Data[FEDERALPROGRAMNAME], MATCH(1, (SelectMemberOrg = MemberOrg_Data[Auditee Name])*(B237 = MemberOrg_Data[CFDA]), 0)), "")</f>
        <v/>
      </c>
      <c r="D237" s="36" t="str">
        <f>IFERROR(IF(B237 &lt;&gt; "", SUMIFS(MemberOrg_Data[Total Amount], MemberOrg_Data[Auditee Name], SelectMemberOrg, MemberOrg_Data[CFDA], B237), ""), "")</f>
        <v/>
      </c>
      <c r="E237" s="37" t="str">
        <f>IFERROR(INDEX(BudgetApprop_Data[President: % Change from 2019], MATCH(B237, BudgetApprop_Data[CFDA], 0)), "")</f>
        <v/>
      </c>
      <c r="F237" s="36" t="str">
        <f t="shared" si="12"/>
        <v/>
      </c>
      <c r="G237" s="46" t="str">
        <f>IFERROR(INDEX(BudgetApprop_Data[House: % Change from 2019], MATCH(FPWA_HelperTable[[#This Row],[CFDA]], BudgetApprop_Data[CFDA], 0)), "")</f>
        <v/>
      </c>
      <c r="H237" s="36" t="str">
        <f t="shared" si="13"/>
        <v/>
      </c>
      <c r="I237" s="35" t="str">
        <f>IF(B237 = "", "", IF(FPWA_HelperTable[[#This Row],[President $ Change]]&lt;&gt;"", RANK(F237, $F$6:$F$262)+COUNTIF($F$6:F237, F237)-1, 0))</f>
        <v/>
      </c>
      <c r="J237" s="35" t="str">
        <f>IFERROR((IF(I237= 0, COUNTIF($I$6:I237, 0), "")+MAX($I$6:$I$262)), "")</f>
        <v/>
      </c>
      <c r="K237" s="35" t="str">
        <f t="shared" si="14"/>
        <v/>
      </c>
      <c r="N237" s="34">
        <v>232</v>
      </c>
      <c r="O237" s="33" t="str">
        <f t="shared" si="15"/>
        <v/>
      </c>
    </row>
    <row r="238" spans="2:15" x14ac:dyDescent="0.25">
      <c r="B238" s="35" t="str">
        <f>IF(Control!$O241="","",INDEX(MemberOrg_Data[CFDA], Control!$O241))</f>
        <v/>
      </c>
      <c r="C238" s="35" t="str">
        <f t="array" ref="C238">IFERROR(INDEX(MemberOrg_Data[FEDERALPROGRAMNAME], MATCH(1, (SelectMemberOrg = MemberOrg_Data[Auditee Name])*(B238 = MemberOrg_Data[CFDA]), 0)), "")</f>
        <v/>
      </c>
      <c r="D238" s="36" t="str">
        <f>IFERROR(IF(B238 &lt;&gt; "", SUMIFS(MemberOrg_Data[Total Amount], MemberOrg_Data[Auditee Name], SelectMemberOrg, MemberOrg_Data[CFDA], B238), ""), "")</f>
        <v/>
      </c>
      <c r="E238" s="37" t="str">
        <f>IFERROR(INDEX(BudgetApprop_Data[President: % Change from 2019], MATCH(B238, BudgetApprop_Data[CFDA], 0)), "")</f>
        <v/>
      </c>
      <c r="F238" s="36" t="str">
        <f t="shared" si="12"/>
        <v/>
      </c>
      <c r="G238" s="46" t="str">
        <f>IFERROR(INDEX(BudgetApprop_Data[House: % Change from 2019], MATCH(FPWA_HelperTable[[#This Row],[CFDA]], BudgetApprop_Data[CFDA], 0)), "")</f>
        <v/>
      </c>
      <c r="H238" s="36" t="str">
        <f t="shared" si="13"/>
        <v/>
      </c>
      <c r="I238" s="35" t="str">
        <f>IF(B238 = "", "", IF(FPWA_HelperTable[[#This Row],[President $ Change]]&lt;&gt;"", RANK(F238, $F$6:$F$262)+COUNTIF($F$6:F238, F238)-1, 0))</f>
        <v/>
      </c>
      <c r="J238" s="35" t="str">
        <f>IFERROR((IF(I238= 0, COUNTIF($I$6:I238, 0), "")+MAX($I$6:$I$262)), "")</f>
        <v/>
      </c>
      <c r="K238" s="35" t="str">
        <f t="shared" si="14"/>
        <v/>
      </c>
      <c r="N238" s="34">
        <v>233</v>
      </c>
      <c r="O238" s="33" t="str">
        <f t="shared" si="15"/>
        <v/>
      </c>
    </row>
    <row r="239" spans="2:15" x14ac:dyDescent="0.25">
      <c r="B239" s="35" t="str">
        <f>IF(Control!$O242="","",INDEX(MemberOrg_Data[CFDA], Control!$O242))</f>
        <v/>
      </c>
      <c r="C239" s="35" t="str">
        <f t="array" ref="C239">IFERROR(INDEX(MemberOrg_Data[FEDERALPROGRAMNAME], MATCH(1, (SelectMemberOrg = MemberOrg_Data[Auditee Name])*(B239 = MemberOrg_Data[CFDA]), 0)), "")</f>
        <v/>
      </c>
      <c r="D239" s="36" t="str">
        <f>IFERROR(IF(B239 &lt;&gt; "", SUMIFS(MemberOrg_Data[Total Amount], MemberOrg_Data[Auditee Name], SelectMemberOrg, MemberOrg_Data[CFDA], B239), ""), "")</f>
        <v/>
      </c>
      <c r="E239" s="37" t="str">
        <f>IFERROR(INDEX(BudgetApprop_Data[President: % Change from 2019], MATCH(B239, BudgetApprop_Data[CFDA], 0)), "")</f>
        <v/>
      </c>
      <c r="F239" s="36" t="str">
        <f t="shared" si="12"/>
        <v/>
      </c>
      <c r="G239" s="46" t="str">
        <f>IFERROR(INDEX(BudgetApprop_Data[House: % Change from 2019], MATCH(FPWA_HelperTable[[#This Row],[CFDA]], BudgetApprop_Data[CFDA], 0)), "")</f>
        <v/>
      </c>
      <c r="H239" s="36" t="str">
        <f t="shared" si="13"/>
        <v/>
      </c>
      <c r="I239" s="35" t="str">
        <f>IF(B239 = "", "", IF(FPWA_HelperTable[[#This Row],[President $ Change]]&lt;&gt;"", RANK(F239, $F$6:$F$262)+COUNTIF($F$6:F239, F239)-1, 0))</f>
        <v/>
      </c>
      <c r="J239" s="35" t="str">
        <f>IFERROR((IF(I239= 0, COUNTIF($I$6:I239, 0), "")+MAX($I$6:$I$262)), "")</f>
        <v/>
      </c>
      <c r="K239" s="35" t="str">
        <f t="shared" si="14"/>
        <v/>
      </c>
      <c r="N239" s="34">
        <v>234</v>
      </c>
      <c r="O239" s="33" t="str">
        <f t="shared" si="15"/>
        <v/>
      </c>
    </row>
    <row r="240" spans="2:15" x14ac:dyDescent="0.25">
      <c r="B240" s="35" t="str">
        <f>IF(Control!$O243="","",INDEX(MemberOrg_Data[CFDA], Control!$O243))</f>
        <v/>
      </c>
      <c r="C240" s="35" t="str">
        <f t="array" ref="C240">IFERROR(INDEX(MemberOrg_Data[FEDERALPROGRAMNAME], MATCH(1, (SelectMemberOrg = MemberOrg_Data[Auditee Name])*(B240 = MemberOrg_Data[CFDA]), 0)), "")</f>
        <v/>
      </c>
      <c r="D240" s="36" t="str">
        <f>IFERROR(IF(B240 &lt;&gt; "", SUMIFS(MemberOrg_Data[Total Amount], MemberOrg_Data[Auditee Name], SelectMemberOrg, MemberOrg_Data[CFDA], B240), ""), "")</f>
        <v/>
      </c>
      <c r="E240" s="37" t="str">
        <f>IFERROR(INDEX(BudgetApprop_Data[President: % Change from 2019], MATCH(B240, BudgetApprop_Data[CFDA], 0)), "")</f>
        <v/>
      </c>
      <c r="F240" s="36" t="str">
        <f t="shared" si="12"/>
        <v/>
      </c>
      <c r="G240" s="46" t="str">
        <f>IFERROR(INDEX(BudgetApprop_Data[House: % Change from 2019], MATCH(FPWA_HelperTable[[#This Row],[CFDA]], BudgetApprop_Data[CFDA], 0)), "")</f>
        <v/>
      </c>
      <c r="H240" s="36" t="str">
        <f t="shared" si="13"/>
        <v/>
      </c>
      <c r="I240" s="35" t="str">
        <f>IF(B240 = "", "", IF(FPWA_HelperTable[[#This Row],[President $ Change]]&lt;&gt;"", RANK(F240, $F$6:$F$262)+COUNTIF($F$6:F240, F240)-1, 0))</f>
        <v/>
      </c>
      <c r="J240" s="35" t="str">
        <f>IFERROR((IF(I240= 0, COUNTIF($I$6:I240, 0), "")+MAX($I$6:$I$262)), "")</f>
        <v/>
      </c>
      <c r="K240" s="35" t="str">
        <f t="shared" si="14"/>
        <v/>
      </c>
      <c r="N240" s="34">
        <v>235</v>
      </c>
      <c r="O240" s="33" t="str">
        <f t="shared" si="15"/>
        <v/>
      </c>
    </row>
    <row r="241" spans="2:15" x14ac:dyDescent="0.25">
      <c r="B241" s="35" t="str">
        <f>IF(Control!$O244="","",INDEX(MemberOrg_Data[CFDA], Control!$O244))</f>
        <v/>
      </c>
      <c r="C241" s="35" t="str">
        <f t="array" ref="C241">IFERROR(INDEX(MemberOrg_Data[FEDERALPROGRAMNAME], MATCH(1, (SelectMemberOrg = MemberOrg_Data[Auditee Name])*(B241 = MemberOrg_Data[CFDA]), 0)), "")</f>
        <v/>
      </c>
      <c r="D241" s="36" t="str">
        <f>IFERROR(IF(B241 &lt;&gt; "", SUMIFS(MemberOrg_Data[Total Amount], MemberOrg_Data[Auditee Name], SelectMemberOrg, MemberOrg_Data[CFDA], B241), ""), "")</f>
        <v/>
      </c>
      <c r="E241" s="37" t="str">
        <f>IFERROR(INDEX(BudgetApprop_Data[President: % Change from 2019], MATCH(B241, BudgetApprop_Data[CFDA], 0)), "")</f>
        <v/>
      </c>
      <c r="F241" s="36" t="str">
        <f t="shared" si="12"/>
        <v/>
      </c>
      <c r="G241" s="46" t="str">
        <f>IFERROR(INDEX(BudgetApprop_Data[House: % Change from 2019], MATCH(FPWA_HelperTable[[#This Row],[CFDA]], BudgetApprop_Data[CFDA], 0)), "")</f>
        <v/>
      </c>
      <c r="H241" s="36" t="str">
        <f t="shared" si="13"/>
        <v/>
      </c>
      <c r="I241" s="35" t="str">
        <f>IF(B241 = "", "", IF(FPWA_HelperTable[[#This Row],[President $ Change]]&lt;&gt;"", RANK(F241, $F$6:$F$262)+COUNTIF($F$6:F241, F241)-1, 0))</f>
        <v/>
      </c>
      <c r="J241" s="35" t="str">
        <f>IFERROR((IF(I241= 0, COUNTIF($I$6:I241, 0), "")+MAX($I$6:$I$262)), "")</f>
        <v/>
      </c>
      <c r="K241" s="35" t="str">
        <f t="shared" si="14"/>
        <v/>
      </c>
      <c r="N241" s="34">
        <v>236</v>
      </c>
      <c r="O241" s="33" t="str">
        <f t="shared" si="15"/>
        <v/>
      </c>
    </row>
    <row r="242" spans="2:15" x14ac:dyDescent="0.25">
      <c r="B242" s="35" t="str">
        <f>IF(Control!$O245="","",INDEX(MemberOrg_Data[CFDA], Control!$O245))</f>
        <v/>
      </c>
      <c r="C242" s="35" t="str">
        <f t="array" ref="C242">IFERROR(INDEX(MemberOrg_Data[FEDERALPROGRAMNAME], MATCH(1, (SelectMemberOrg = MemberOrg_Data[Auditee Name])*(B242 = MemberOrg_Data[CFDA]), 0)), "")</f>
        <v/>
      </c>
      <c r="D242" s="36" t="str">
        <f>IFERROR(IF(B242 &lt;&gt; "", SUMIFS(MemberOrg_Data[Total Amount], MemberOrg_Data[Auditee Name], SelectMemberOrg, MemberOrg_Data[CFDA], B242), ""), "")</f>
        <v/>
      </c>
      <c r="E242" s="37" t="str">
        <f>IFERROR(INDEX(BudgetApprop_Data[President: % Change from 2019], MATCH(B242, BudgetApprop_Data[CFDA], 0)), "")</f>
        <v/>
      </c>
      <c r="F242" s="36" t="str">
        <f t="shared" si="12"/>
        <v/>
      </c>
      <c r="G242" s="46" t="str">
        <f>IFERROR(INDEX(BudgetApprop_Data[House: % Change from 2019], MATCH(FPWA_HelperTable[[#This Row],[CFDA]], BudgetApprop_Data[CFDA], 0)), "")</f>
        <v/>
      </c>
      <c r="H242" s="36" t="str">
        <f t="shared" si="13"/>
        <v/>
      </c>
      <c r="I242" s="35" t="str">
        <f>IF(B242 = "", "", IF(FPWA_HelperTable[[#This Row],[President $ Change]]&lt;&gt;"", RANK(F242, $F$6:$F$262)+COUNTIF($F$6:F242, F242)-1, 0))</f>
        <v/>
      </c>
      <c r="J242" s="35" t="str">
        <f>IFERROR((IF(I242= 0, COUNTIF($I$6:I242, 0), "")+MAX($I$6:$I$262)), "")</f>
        <v/>
      </c>
      <c r="K242" s="35" t="str">
        <f t="shared" si="14"/>
        <v/>
      </c>
      <c r="N242" s="34">
        <v>237</v>
      </c>
      <c r="O242" s="33" t="str">
        <f t="shared" si="15"/>
        <v/>
      </c>
    </row>
    <row r="243" spans="2:15" x14ac:dyDescent="0.25">
      <c r="B243" s="35" t="str">
        <f>IF(Control!$O246="","",INDEX(MemberOrg_Data[CFDA], Control!$O246))</f>
        <v/>
      </c>
      <c r="C243" s="35" t="str">
        <f t="array" ref="C243">IFERROR(INDEX(MemberOrg_Data[FEDERALPROGRAMNAME], MATCH(1, (SelectMemberOrg = MemberOrg_Data[Auditee Name])*(B243 = MemberOrg_Data[CFDA]), 0)), "")</f>
        <v/>
      </c>
      <c r="D243" s="36" t="str">
        <f>IFERROR(IF(B243 &lt;&gt; "", SUMIFS(MemberOrg_Data[Total Amount], MemberOrg_Data[Auditee Name], SelectMemberOrg, MemberOrg_Data[CFDA], B243), ""), "")</f>
        <v/>
      </c>
      <c r="E243" s="37" t="str">
        <f>IFERROR(INDEX(BudgetApprop_Data[President: % Change from 2019], MATCH(B243, BudgetApprop_Data[CFDA], 0)), "")</f>
        <v/>
      </c>
      <c r="F243" s="36" t="str">
        <f t="shared" si="12"/>
        <v/>
      </c>
      <c r="G243" s="46" t="str">
        <f>IFERROR(INDEX(BudgetApprop_Data[House: % Change from 2019], MATCH(FPWA_HelperTable[[#This Row],[CFDA]], BudgetApprop_Data[CFDA], 0)), "")</f>
        <v/>
      </c>
      <c r="H243" s="36" t="str">
        <f t="shared" si="13"/>
        <v/>
      </c>
      <c r="I243" s="35" t="str">
        <f>IF(B243 = "", "", IF(FPWA_HelperTable[[#This Row],[President $ Change]]&lt;&gt;"", RANK(F243, $F$6:$F$262)+COUNTIF($F$6:F243, F243)-1, 0))</f>
        <v/>
      </c>
      <c r="J243" s="35" t="str">
        <f>IFERROR((IF(I243= 0, COUNTIF($I$6:I243, 0), "")+MAX($I$6:$I$262)), "")</f>
        <v/>
      </c>
      <c r="K243" s="35" t="str">
        <f t="shared" si="14"/>
        <v/>
      </c>
      <c r="N243" s="34">
        <v>238</v>
      </c>
      <c r="O243" s="33" t="str">
        <f t="shared" si="15"/>
        <v/>
      </c>
    </row>
    <row r="244" spans="2:15" x14ac:dyDescent="0.25">
      <c r="B244" s="35" t="str">
        <f>IF(Control!$O247="","",INDEX(MemberOrg_Data[CFDA], Control!$O247))</f>
        <v/>
      </c>
      <c r="C244" s="35" t="str">
        <f t="array" ref="C244">IFERROR(INDEX(MemberOrg_Data[FEDERALPROGRAMNAME], MATCH(1, (SelectMemberOrg = MemberOrg_Data[Auditee Name])*(B244 = MemberOrg_Data[CFDA]), 0)), "")</f>
        <v/>
      </c>
      <c r="D244" s="36" t="str">
        <f>IFERROR(IF(B244 &lt;&gt; "", SUMIFS(MemberOrg_Data[Total Amount], MemberOrg_Data[Auditee Name], SelectMemberOrg, MemberOrg_Data[CFDA], B244), ""), "")</f>
        <v/>
      </c>
      <c r="E244" s="37" t="str">
        <f>IFERROR(INDEX(BudgetApprop_Data[President: % Change from 2019], MATCH(B244, BudgetApprop_Data[CFDA], 0)), "")</f>
        <v/>
      </c>
      <c r="F244" s="36" t="str">
        <f t="shared" si="12"/>
        <v/>
      </c>
      <c r="G244" s="46" t="str">
        <f>IFERROR(INDEX(BudgetApprop_Data[House: % Change from 2019], MATCH(FPWA_HelperTable[[#This Row],[CFDA]], BudgetApprop_Data[CFDA], 0)), "")</f>
        <v/>
      </c>
      <c r="H244" s="36" t="str">
        <f t="shared" si="13"/>
        <v/>
      </c>
      <c r="I244" s="35" t="str">
        <f>IF(B244 = "", "", IF(FPWA_HelperTable[[#This Row],[President $ Change]]&lt;&gt;"", RANK(F244, $F$6:$F$262)+COUNTIF($F$6:F244, F244)-1, 0))</f>
        <v/>
      </c>
      <c r="J244" s="35" t="str">
        <f>IFERROR((IF(I244= 0, COUNTIF($I$6:I244, 0), "")+MAX($I$6:$I$262)), "")</f>
        <v/>
      </c>
      <c r="K244" s="35" t="str">
        <f t="shared" si="14"/>
        <v/>
      </c>
      <c r="N244" s="34">
        <v>239</v>
      </c>
      <c r="O244" s="33" t="str">
        <f t="shared" si="15"/>
        <v/>
      </c>
    </row>
    <row r="245" spans="2:15" x14ac:dyDescent="0.25">
      <c r="B245" s="35" t="str">
        <f>IF(Control!$O248="","",INDEX(MemberOrg_Data[CFDA], Control!$O248))</f>
        <v/>
      </c>
      <c r="C245" s="35" t="str">
        <f t="array" ref="C245">IFERROR(INDEX(MemberOrg_Data[FEDERALPROGRAMNAME], MATCH(1, (SelectMemberOrg = MemberOrg_Data[Auditee Name])*(B245 = MemberOrg_Data[CFDA]), 0)), "")</f>
        <v/>
      </c>
      <c r="D245" s="36" t="str">
        <f>IFERROR(IF(B245 &lt;&gt; "", SUMIFS(MemberOrg_Data[Total Amount], MemberOrg_Data[Auditee Name], SelectMemberOrg, MemberOrg_Data[CFDA], B245), ""), "")</f>
        <v/>
      </c>
      <c r="E245" s="37" t="str">
        <f>IFERROR(INDEX(BudgetApprop_Data[President: % Change from 2019], MATCH(B245, BudgetApprop_Data[CFDA], 0)), "")</f>
        <v/>
      </c>
      <c r="F245" s="36" t="str">
        <f t="shared" si="12"/>
        <v/>
      </c>
      <c r="G245" s="46" t="str">
        <f>IFERROR(INDEX(BudgetApprop_Data[House: % Change from 2019], MATCH(FPWA_HelperTable[[#This Row],[CFDA]], BudgetApprop_Data[CFDA], 0)), "")</f>
        <v/>
      </c>
      <c r="H245" s="36" t="str">
        <f t="shared" si="13"/>
        <v/>
      </c>
      <c r="I245" s="35" t="str">
        <f>IF(B245 = "", "", IF(FPWA_HelperTable[[#This Row],[President $ Change]]&lt;&gt;"", RANK(F245, $F$6:$F$262)+COUNTIF($F$6:F245, F245)-1, 0))</f>
        <v/>
      </c>
      <c r="J245" s="35" t="str">
        <f>IFERROR((IF(I245= 0, COUNTIF($I$6:I245, 0), "")+MAX($I$6:$I$262)), "")</f>
        <v/>
      </c>
      <c r="K245" s="35" t="str">
        <f t="shared" si="14"/>
        <v/>
      </c>
      <c r="N245" s="34">
        <v>240</v>
      </c>
      <c r="O245" s="33" t="str">
        <f t="shared" si="15"/>
        <v/>
      </c>
    </row>
    <row r="246" spans="2:15" x14ac:dyDescent="0.25">
      <c r="B246" s="35" t="str">
        <f>IF(Control!$O249="","",INDEX(MemberOrg_Data[CFDA], Control!$O249))</f>
        <v/>
      </c>
      <c r="C246" s="35" t="str">
        <f t="array" ref="C246">IFERROR(INDEX(MemberOrg_Data[FEDERALPROGRAMNAME], MATCH(1, (SelectMemberOrg = MemberOrg_Data[Auditee Name])*(B246 = MemberOrg_Data[CFDA]), 0)), "")</f>
        <v/>
      </c>
      <c r="D246" s="36" t="str">
        <f>IFERROR(IF(B246 &lt;&gt; "", SUMIFS(MemberOrg_Data[Total Amount], MemberOrg_Data[Auditee Name], SelectMemberOrg, MemberOrg_Data[CFDA], B246), ""), "")</f>
        <v/>
      </c>
      <c r="E246" s="37" t="str">
        <f>IFERROR(INDEX(BudgetApprop_Data[President: % Change from 2019], MATCH(B246, BudgetApprop_Data[CFDA], 0)), "")</f>
        <v/>
      </c>
      <c r="F246" s="36" t="str">
        <f t="shared" si="12"/>
        <v/>
      </c>
      <c r="G246" s="46" t="str">
        <f>IFERROR(INDEX(BudgetApprop_Data[House: % Change from 2019], MATCH(FPWA_HelperTable[[#This Row],[CFDA]], BudgetApprop_Data[CFDA], 0)), "")</f>
        <v/>
      </c>
      <c r="H246" s="36" t="str">
        <f t="shared" si="13"/>
        <v/>
      </c>
      <c r="I246" s="35" t="str">
        <f>IF(B246 = "", "", IF(FPWA_HelperTable[[#This Row],[President $ Change]]&lt;&gt;"", RANK(F246, $F$6:$F$262)+COUNTIF($F$6:F246, F246)-1, 0))</f>
        <v/>
      </c>
      <c r="J246" s="35" t="str">
        <f>IFERROR((IF(I246= 0, COUNTIF($I$6:I246, 0), "")+MAX($I$6:$I$262)), "")</f>
        <v/>
      </c>
      <c r="K246" s="35" t="str">
        <f t="shared" si="14"/>
        <v/>
      </c>
      <c r="N246" s="34">
        <v>241</v>
      </c>
      <c r="O246" s="33" t="str">
        <f t="shared" si="15"/>
        <v/>
      </c>
    </row>
    <row r="247" spans="2:15" x14ac:dyDescent="0.25">
      <c r="B247" s="35" t="str">
        <f>IF(Control!$O250="","",INDEX(MemberOrg_Data[CFDA], Control!$O250))</f>
        <v/>
      </c>
      <c r="C247" s="35" t="str">
        <f t="array" ref="C247">IFERROR(INDEX(MemberOrg_Data[FEDERALPROGRAMNAME], MATCH(1, (SelectMemberOrg = MemberOrg_Data[Auditee Name])*(B247 = MemberOrg_Data[CFDA]), 0)), "")</f>
        <v/>
      </c>
      <c r="D247" s="36" t="str">
        <f>IFERROR(IF(B247 &lt;&gt; "", SUMIFS(MemberOrg_Data[Total Amount], MemberOrg_Data[Auditee Name], SelectMemberOrg, MemberOrg_Data[CFDA], B247), ""), "")</f>
        <v/>
      </c>
      <c r="E247" s="37" t="str">
        <f>IFERROR(INDEX(BudgetApprop_Data[President: % Change from 2019], MATCH(B247, BudgetApprop_Data[CFDA], 0)), "")</f>
        <v/>
      </c>
      <c r="F247" s="36" t="str">
        <f t="shared" si="12"/>
        <v/>
      </c>
      <c r="G247" s="46" t="str">
        <f>IFERROR(INDEX(BudgetApprop_Data[House: % Change from 2019], MATCH(FPWA_HelperTable[[#This Row],[CFDA]], BudgetApprop_Data[CFDA], 0)), "")</f>
        <v/>
      </c>
      <c r="H247" s="36" t="str">
        <f t="shared" si="13"/>
        <v/>
      </c>
      <c r="I247" s="35" t="str">
        <f>IF(B247 = "", "", IF(FPWA_HelperTable[[#This Row],[President $ Change]]&lt;&gt;"", RANK(F247, $F$6:$F$262)+COUNTIF($F$6:F247, F247)-1, 0))</f>
        <v/>
      </c>
      <c r="J247" s="35" t="str">
        <f>IFERROR((IF(I247= 0, COUNTIF($I$6:I247, 0), "")+MAX($I$6:$I$262)), "")</f>
        <v/>
      </c>
      <c r="K247" s="35" t="str">
        <f t="shared" si="14"/>
        <v/>
      </c>
      <c r="N247" s="34">
        <v>242</v>
      </c>
      <c r="O247" s="33" t="str">
        <f t="shared" si="15"/>
        <v/>
      </c>
    </row>
    <row r="248" spans="2:15" x14ac:dyDescent="0.25">
      <c r="B248" s="35" t="str">
        <f>IF(Control!$O251="","",INDEX(MemberOrg_Data[CFDA], Control!$O251))</f>
        <v/>
      </c>
      <c r="C248" s="35" t="str">
        <f t="array" ref="C248">IFERROR(INDEX(MemberOrg_Data[FEDERALPROGRAMNAME], MATCH(1, (SelectMemberOrg = MemberOrg_Data[Auditee Name])*(B248 = MemberOrg_Data[CFDA]), 0)), "")</f>
        <v/>
      </c>
      <c r="D248" s="36" t="str">
        <f>IFERROR(IF(B248 &lt;&gt; "", SUMIFS(MemberOrg_Data[Total Amount], MemberOrg_Data[Auditee Name], SelectMemberOrg, MemberOrg_Data[CFDA], B248), ""), "")</f>
        <v/>
      </c>
      <c r="E248" s="37" t="str">
        <f>IFERROR(INDEX(BudgetApprop_Data[President: % Change from 2019], MATCH(B248, BudgetApprop_Data[CFDA], 0)), "")</f>
        <v/>
      </c>
      <c r="F248" s="36" t="str">
        <f t="shared" si="12"/>
        <v/>
      </c>
      <c r="G248" s="46" t="str">
        <f>IFERROR(INDEX(BudgetApprop_Data[House: % Change from 2019], MATCH(FPWA_HelperTable[[#This Row],[CFDA]], BudgetApprop_Data[CFDA], 0)), "")</f>
        <v/>
      </c>
      <c r="H248" s="36" t="str">
        <f t="shared" si="13"/>
        <v/>
      </c>
      <c r="I248" s="35" t="str">
        <f>IF(B248 = "", "", IF(FPWA_HelperTable[[#This Row],[President $ Change]]&lt;&gt;"", RANK(F248, $F$6:$F$262)+COUNTIF($F$6:F248, F248)-1, 0))</f>
        <v/>
      </c>
      <c r="J248" s="35" t="str">
        <f>IFERROR((IF(I248= 0, COUNTIF($I$6:I248, 0), "")+MAX($I$6:$I$262)), "")</f>
        <v/>
      </c>
      <c r="K248" s="35" t="str">
        <f t="shared" si="14"/>
        <v/>
      </c>
      <c r="N248" s="34">
        <v>243</v>
      </c>
      <c r="O248" s="33" t="str">
        <f t="shared" si="15"/>
        <v/>
      </c>
    </row>
    <row r="249" spans="2:15" x14ac:dyDescent="0.25">
      <c r="B249" s="35" t="str">
        <f>IF(Control!$O252="","",INDEX(MemberOrg_Data[CFDA], Control!$O252))</f>
        <v/>
      </c>
      <c r="C249" s="35" t="str">
        <f t="array" ref="C249">IFERROR(INDEX(MemberOrg_Data[FEDERALPROGRAMNAME], MATCH(1, (SelectMemberOrg = MemberOrg_Data[Auditee Name])*(B249 = MemberOrg_Data[CFDA]), 0)), "")</f>
        <v/>
      </c>
      <c r="D249" s="36" t="str">
        <f>IFERROR(IF(B249 &lt;&gt; "", SUMIFS(MemberOrg_Data[Total Amount], MemberOrg_Data[Auditee Name], SelectMemberOrg, MemberOrg_Data[CFDA], B249), ""), "")</f>
        <v/>
      </c>
      <c r="E249" s="37" t="str">
        <f>IFERROR(INDEX(BudgetApprop_Data[President: % Change from 2019], MATCH(B249, BudgetApprop_Data[CFDA], 0)), "")</f>
        <v/>
      </c>
      <c r="F249" s="36" t="str">
        <f t="shared" si="12"/>
        <v/>
      </c>
      <c r="G249" s="46" t="str">
        <f>IFERROR(INDEX(BudgetApprop_Data[House: % Change from 2019], MATCH(FPWA_HelperTable[[#This Row],[CFDA]], BudgetApprop_Data[CFDA], 0)), "")</f>
        <v/>
      </c>
      <c r="H249" s="36" t="str">
        <f t="shared" si="13"/>
        <v/>
      </c>
      <c r="I249" s="35" t="str">
        <f>IF(B249 = "", "", IF(FPWA_HelperTable[[#This Row],[President $ Change]]&lt;&gt;"", RANK(F249, $F$6:$F$262)+COUNTIF($F$6:F249, F249)-1, 0))</f>
        <v/>
      </c>
      <c r="J249" s="35" t="str">
        <f>IFERROR((IF(I249= 0, COUNTIF($I$6:I249, 0), "")+MAX($I$6:$I$262)), "")</f>
        <v/>
      </c>
      <c r="K249" s="35" t="str">
        <f t="shared" si="14"/>
        <v/>
      </c>
      <c r="N249" s="34">
        <v>244</v>
      </c>
      <c r="O249" s="33" t="str">
        <f t="shared" si="15"/>
        <v/>
      </c>
    </row>
    <row r="250" spans="2:15" x14ac:dyDescent="0.25">
      <c r="B250" s="35" t="str">
        <f>IF(Control!$O253="","",INDEX(MemberOrg_Data[CFDA], Control!$O253))</f>
        <v/>
      </c>
      <c r="C250" s="35" t="str">
        <f t="array" ref="C250">IFERROR(INDEX(MemberOrg_Data[FEDERALPROGRAMNAME], MATCH(1, (SelectMemberOrg = MemberOrg_Data[Auditee Name])*(B250 = MemberOrg_Data[CFDA]), 0)), "")</f>
        <v/>
      </c>
      <c r="D250" s="36" t="str">
        <f>IFERROR(IF(B250 &lt;&gt; "", SUMIFS(MemberOrg_Data[Total Amount], MemberOrg_Data[Auditee Name], SelectMemberOrg, MemberOrg_Data[CFDA], B250), ""), "")</f>
        <v/>
      </c>
      <c r="E250" s="37" t="str">
        <f>IFERROR(INDEX(BudgetApprop_Data[President: % Change from 2019], MATCH(B250, BudgetApprop_Data[CFDA], 0)), "")</f>
        <v/>
      </c>
      <c r="F250" s="36" t="str">
        <f t="shared" si="12"/>
        <v/>
      </c>
      <c r="G250" s="46" t="str">
        <f>IFERROR(INDEX(BudgetApprop_Data[House: % Change from 2019], MATCH(FPWA_HelperTable[[#This Row],[CFDA]], BudgetApprop_Data[CFDA], 0)), "")</f>
        <v/>
      </c>
      <c r="H250" s="36" t="str">
        <f t="shared" si="13"/>
        <v/>
      </c>
      <c r="I250" s="35" t="str">
        <f>IF(B250 = "", "", IF(FPWA_HelperTable[[#This Row],[President $ Change]]&lt;&gt;"", RANK(F250, $F$6:$F$262)+COUNTIF($F$6:F250, F250)-1, 0))</f>
        <v/>
      </c>
      <c r="J250" s="35" t="str">
        <f>IFERROR((IF(I250= 0, COUNTIF($I$6:I250, 0), "")+MAX($I$6:$I$262)), "")</f>
        <v/>
      </c>
      <c r="K250" s="35" t="str">
        <f t="shared" si="14"/>
        <v/>
      </c>
      <c r="N250" s="34">
        <v>245</v>
      </c>
      <c r="O250" s="33" t="str">
        <f t="shared" si="15"/>
        <v/>
      </c>
    </row>
    <row r="251" spans="2:15" x14ac:dyDescent="0.25">
      <c r="B251" s="35" t="str">
        <f>IF(Control!$O254="","",INDEX(MemberOrg_Data[CFDA], Control!$O254))</f>
        <v/>
      </c>
      <c r="C251" s="35" t="str">
        <f t="array" ref="C251">IFERROR(INDEX(MemberOrg_Data[FEDERALPROGRAMNAME], MATCH(1, (SelectMemberOrg = MemberOrg_Data[Auditee Name])*(B251 = MemberOrg_Data[CFDA]), 0)), "")</f>
        <v/>
      </c>
      <c r="D251" s="36" t="str">
        <f>IFERROR(IF(B251 &lt;&gt; "", SUMIFS(MemberOrg_Data[Total Amount], MemberOrg_Data[Auditee Name], SelectMemberOrg, MemberOrg_Data[CFDA], B251), ""), "")</f>
        <v/>
      </c>
      <c r="E251" s="37" t="str">
        <f>IFERROR(INDEX(BudgetApprop_Data[President: % Change from 2019], MATCH(B251, BudgetApprop_Data[CFDA], 0)), "")</f>
        <v/>
      </c>
      <c r="F251" s="36" t="str">
        <f t="shared" si="12"/>
        <v/>
      </c>
      <c r="G251" s="46" t="str">
        <f>IFERROR(INDEX(BudgetApprop_Data[House: % Change from 2019], MATCH(FPWA_HelperTable[[#This Row],[CFDA]], BudgetApprop_Data[CFDA], 0)), "")</f>
        <v/>
      </c>
      <c r="H251" s="36" t="str">
        <f t="shared" si="13"/>
        <v/>
      </c>
      <c r="I251" s="35" t="str">
        <f>IF(B251 = "", "", IF(FPWA_HelperTable[[#This Row],[President $ Change]]&lt;&gt;"", RANK(F251, $F$6:$F$262)+COUNTIF($F$6:F251, F251)-1, 0))</f>
        <v/>
      </c>
      <c r="J251" s="35" t="str">
        <f>IFERROR((IF(I251= 0, COUNTIF($I$6:I251, 0), "")+MAX($I$6:$I$262)), "")</f>
        <v/>
      </c>
      <c r="K251" s="35" t="str">
        <f t="shared" si="14"/>
        <v/>
      </c>
      <c r="N251" s="34">
        <v>246</v>
      </c>
      <c r="O251" s="33" t="str">
        <f t="shared" si="15"/>
        <v/>
      </c>
    </row>
    <row r="252" spans="2:15" x14ac:dyDescent="0.25">
      <c r="B252" s="35" t="str">
        <f>IF(Control!$O255="","",INDEX(MemberOrg_Data[CFDA], Control!$O255))</f>
        <v/>
      </c>
      <c r="C252" s="35" t="str">
        <f t="array" ref="C252">IFERROR(INDEX(MemberOrg_Data[FEDERALPROGRAMNAME], MATCH(1, (SelectMemberOrg = MemberOrg_Data[Auditee Name])*(B252 = MemberOrg_Data[CFDA]), 0)), "")</f>
        <v/>
      </c>
      <c r="D252" s="36" t="str">
        <f>IFERROR(IF(B252 &lt;&gt; "", SUMIFS(MemberOrg_Data[Total Amount], MemberOrg_Data[Auditee Name], SelectMemberOrg, MemberOrg_Data[CFDA], B252), ""), "")</f>
        <v/>
      </c>
      <c r="E252" s="37" t="str">
        <f>IFERROR(INDEX(BudgetApprop_Data[President: % Change from 2019], MATCH(B252, BudgetApprop_Data[CFDA], 0)), "")</f>
        <v/>
      </c>
      <c r="F252" s="36" t="str">
        <f t="shared" si="12"/>
        <v/>
      </c>
      <c r="G252" s="46" t="str">
        <f>IFERROR(INDEX(BudgetApprop_Data[House: % Change from 2019], MATCH(FPWA_HelperTable[[#This Row],[CFDA]], BudgetApprop_Data[CFDA], 0)), "")</f>
        <v/>
      </c>
      <c r="H252" s="36" t="str">
        <f t="shared" si="13"/>
        <v/>
      </c>
      <c r="I252" s="35" t="str">
        <f>IF(B252 = "", "", IF(FPWA_HelperTable[[#This Row],[President $ Change]]&lt;&gt;"", RANK(F252, $F$6:$F$262)+COUNTIF($F$6:F252, F252)-1, 0))</f>
        <v/>
      </c>
      <c r="J252" s="35" t="str">
        <f>IFERROR((IF(I252= 0, COUNTIF($I$6:I252, 0), "")+MAX($I$6:$I$262)), "")</f>
        <v/>
      </c>
      <c r="K252" s="35" t="str">
        <f t="shared" si="14"/>
        <v/>
      </c>
      <c r="N252" s="34">
        <v>247</v>
      </c>
      <c r="O252" s="33" t="str">
        <f t="shared" si="15"/>
        <v/>
      </c>
    </row>
    <row r="253" spans="2:15" x14ac:dyDescent="0.25">
      <c r="B253" s="35" t="str">
        <f>IF(Control!$O256="","",INDEX(MemberOrg_Data[CFDA], Control!$O256))</f>
        <v/>
      </c>
      <c r="C253" s="35" t="str">
        <f t="array" ref="C253">IFERROR(INDEX(MemberOrg_Data[FEDERALPROGRAMNAME], MATCH(1, (SelectMemberOrg = MemberOrg_Data[Auditee Name])*(B253 = MemberOrg_Data[CFDA]), 0)), "")</f>
        <v/>
      </c>
      <c r="D253" s="36" t="str">
        <f>IFERROR(IF(B253 &lt;&gt; "", SUMIFS(MemberOrg_Data[Total Amount], MemberOrg_Data[Auditee Name], SelectMemberOrg, MemberOrg_Data[CFDA], B253), ""), "")</f>
        <v/>
      </c>
      <c r="E253" s="37" t="str">
        <f>IFERROR(INDEX(BudgetApprop_Data[President: % Change from 2019], MATCH(B253, BudgetApprop_Data[CFDA], 0)), "")</f>
        <v/>
      </c>
      <c r="F253" s="36" t="str">
        <f t="shared" si="12"/>
        <v/>
      </c>
      <c r="G253" s="46" t="str">
        <f>IFERROR(INDEX(BudgetApprop_Data[House: % Change from 2019], MATCH(FPWA_HelperTable[[#This Row],[CFDA]], BudgetApprop_Data[CFDA], 0)), "")</f>
        <v/>
      </c>
      <c r="H253" s="36" t="str">
        <f t="shared" si="13"/>
        <v/>
      </c>
      <c r="I253" s="35" t="str">
        <f>IF(B253 = "", "", IF(FPWA_HelperTable[[#This Row],[President $ Change]]&lt;&gt;"", RANK(F253, $F$6:$F$262)+COUNTIF($F$6:F253, F253)-1, 0))</f>
        <v/>
      </c>
      <c r="J253" s="35" t="str">
        <f>IFERROR((IF(I253= 0, COUNTIF($I$6:I253, 0), "")+MAX($I$6:$I$262)), "")</f>
        <v/>
      </c>
      <c r="K253" s="35" t="str">
        <f t="shared" si="14"/>
        <v/>
      </c>
      <c r="N253" s="34">
        <v>248</v>
      </c>
      <c r="O253" s="33" t="str">
        <f t="shared" si="15"/>
        <v/>
      </c>
    </row>
    <row r="254" spans="2:15" x14ac:dyDescent="0.25">
      <c r="B254" s="35" t="str">
        <f>IF(Control!$O257="","",INDEX(MemberOrg_Data[CFDA], Control!$O257))</f>
        <v/>
      </c>
      <c r="C254" s="35" t="str">
        <f t="array" ref="C254">IFERROR(INDEX(MemberOrg_Data[FEDERALPROGRAMNAME], MATCH(1, (SelectMemberOrg = MemberOrg_Data[Auditee Name])*(B254 = MemberOrg_Data[CFDA]), 0)), "")</f>
        <v/>
      </c>
      <c r="D254" s="36" t="str">
        <f>IFERROR(IF(B254 &lt;&gt; "", SUMIFS(MemberOrg_Data[Total Amount], MemberOrg_Data[Auditee Name], SelectMemberOrg, MemberOrg_Data[CFDA], B254), ""), "")</f>
        <v/>
      </c>
      <c r="E254" s="37" t="str">
        <f>IFERROR(INDEX(BudgetApprop_Data[President: % Change from 2019], MATCH(B254, BudgetApprop_Data[CFDA], 0)), "")</f>
        <v/>
      </c>
      <c r="F254" s="36" t="str">
        <f t="shared" si="12"/>
        <v/>
      </c>
      <c r="G254" s="46" t="str">
        <f>IFERROR(INDEX(BudgetApprop_Data[House: % Change from 2019], MATCH(FPWA_HelperTable[[#This Row],[CFDA]], BudgetApprop_Data[CFDA], 0)), "")</f>
        <v/>
      </c>
      <c r="H254" s="36" t="str">
        <f t="shared" si="13"/>
        <v/>
      </c>
      <c r="I254" s="35" t="str">
        <f>IF(B254 = "", "", IF(FPWA_HelperTable[[#This Row],[President $ Change]]&lt;&gt;"", RANK(F254, $F$6:$F$262)+COUNTIF($F$6:F254, F254)-1, 0))</f>
        <v/>
      </c>
      <c r="J254" s="35" t="str">
        <f>IFERROR((IF(I254= 0, COUNTIF($I$6:I254, 0), "")+MAX($I$6:$I$262)), "")</f>
        <v/>
      </c>
      <c r="K254" s="35" t="str">
        <f t="shared" si="14"/>
        <v/>
      </c>
      <c r="N254" s="34">
        <v>249</v>
      </c>
      <c r="O254" s="33" t="str">
        <f t="shared" si="15"/>
        <v/>
      </c>
    </row>
    <row r="255" spans="2:15" x14ac:dyDescent="0.25">
      <c r="B255" s="35" t="str">
        <f>IF(Control!$O258="","",INDEX(MemberOrg_Data[CFDA], Control!$O258))</f>
        <v/>
      </c>
      <c r="C255" s="35" t="str">
        <f t="array" ref="C255">IFERROR(INDEX(MemberOrg_Data[FEDERALPROGRAMNAME], MATCH(1, (SelectMemberOrg = MemberOrg_Data[Auditee Name])*(B255 = MemberOrg_Data[CFDA]), 0)), "")</f>
        <v/>
      </c>
      <c r="D255" s="36" t="str">
        <f>IFERROR(IF(B255 &lt;&gt; "", SUMIFS(MemberOrg_Data[Total Amount], MemberOrg_Data[Auditee Name], SelectMemberOrg, MemberOrg_Data[CFDA], B255), ""), "")</f>
        <v/>
      </c>
      <c r="E255" s="37" t="str">
        <f>IFERROR(INDEX(BudgetApprop_Data[President: % Change from 2019], MATCH(B255, BudgetApprop_Data[CFDA], 0)), "")</f>
        <v/>
      </c>
      <c r="F255" s="36" t="str">
        <f t="shared" si="12"/>
        <v/>
      </c>
      <c r="G255" s="46" t="str">
        <f>IFERROR(INDEX(BudgetApprop_Data[House: % Change from 2019], MATCH(FPWA_HelperTable[[#This Row],[CFDA]], BudgetApprop_Data[CFDA], 0)), "")</f>
        <v/>
      </c>
      <c r="H255" s="36" t="str">
        <f t="shared" si="13"/>
        <v/>
      </c>
      <c r="I255" s="35" t="str">
        <f>IF(B255 = "", "", IF(FPWA_HelperTable[[#This Row],[President $ Change]]&lt;&gt;"", RANK(F255, $F$6:$F$262)+COUNTIF($F$6:F255, F255)-1, 0))</f>
        <v/>
      </c>
      <c r="J255" s="35" t="str">
        <f>IFERROR((IF(I255= 0, COUNTIF($I$6:I255, 0), "")+MAX($I$6:$I$262)), "")</f>
        <v/>
      </c>
      <c r="K255" s="35" t="str">
        <f t="shared" si="14"/>
        <v/>
      </c>
      <c r="N255" s="34">
        <v>250</v>
      </c>
      <c r="O255" s="33" t="str">
        <f t="shared" si="15"/>
        <v/>
      </c>
    </row>
    <row r="256" spans="2:15" x14ac:dyDescent="0.25">
      <c r="B256" s="35" t="str">
        <f>IF(Control!$O259="","",INDEX(MemberOrg_Data[CFDA], Control!$O259))</f>
        <v/>
      </c>
      <c r="C256" s="35" t="str">
        <f t="array" ref="C256">IFERROR(INDEX(MemberOrg_Data[FEDERALPROGRAMNAME], MATCH(1, (SelectMemberOrg = MemberOrg_Data[Auditee Name])*(B256 = MemberOrg_Data[CFDA]), 0)), "")</f>
        <v/>
      </c>
      <c r="D256" s="36" t="str">
        <f>IFERROR(IF(B256 &lt;&gt; "", SUMIFS(MemberOrg_Data[Total Amount], MemberOrg_Data[Auditee Name], SelectMemberOrg, MemberOrg_Data[CFDA], B256), ""), "")</f>
        <v/>
      </c>
      <c r="E256" s="37" t="str">
        <f>IFERROR(INDEX(BudgetApprop_Data[President: % Change from 2019], MATCH(B256, BudgetApprop_Data[CFDA], 0)), "")</f>
        <v/>
      </c>
      <c r="F256" s="36" t="str">
        <f t="shared" si="12"/>
        <v/>
      </c>
      <c r="G256" s="46" t="str">
        <f>IFERROR(INDEX(BudgetApprop_Data[House: % Change from 2019], MATCH(FPWA_HelperTable[[#This Row],[CFDA]], BudgetApprop_Data[CFDA], 0)), "")</f>
        <v/>
      </c>
      <c r="H256" s="36" t="str">
        <f t="shared" si="13"/>
        <v/>
      </c>
      <c r="I256" s="35" t="str">
        <f>IF(B256 = "", "", IF(FPWA_HelperTable[[#This Row],[President $ Change]]&lt;&gt;"", RANK(F256, $F$6:$F$262)+COUNTIF($F$6:F256, F256)-1, 0))</f>
        <v/>
      </c>
      <c r="J256" s="35" t="str">
        <f>IFERROR((IF(I256= 0, COUNTIF($I$6:I256, 0), "")+MAX($I$6:$I$262)), "")</f>
        <v/>
      </c>
      <c r="K256" s="35" t="str">
        <f t="shared" si="14"/>
        <v/>
      </c>
      <c r="N256" s="34">
        <v>251</v>
      </c>
      <c r="O256" s="33" t="str">
        <f t="shared" si="15"/>
        <v/>
      </c>
    </row>
    <row r="257" spans="1:15" x14ac:dyDescent="0.25">
      <c r="B257" s="35" t="str">
        <f>IF(Control!$O260="","",INDEX(MemberOrg_Data[CFDA], Control!$O260))</f>
        <v/>
      </c>
      <c r="C257" s="35" t="str">
        <f t="array" ref="C257">IFERROR(INDEX(MemberOrg_Data[FEDERALPROGRAMNAME], MATCH(1, (SelectMemberOrg = MemberOrg_Data[Auditee Name])*(B257 = MemberOrg_Data[CFDA]), 0)), "")</f>
        <v/>
      </c>
      <c r="D257" s="36" t="str">
        <f>IFERROR(IF(B257 &lt;&gt; "", SUMIFS(MemberOrg_Data[Total Amount], MemberOrg_Data[Auditee Name], SelectMemberOrg, MemberOrg_Data[CFDA], B257), ""), "")</f>
        <v/>
      </c>
      <c r="E257" s="37" t="str">
        <f>IFERROR(INDEX(BudgetApprop_Data[President: % Change from 2019], MATCH(B257, BudgetApprop_Data[CFDA], 0)), "")</f>
        <v/>
      </c>
      <c r="F257" s="36" t="str">
        <f t="shared" si="12"/>
        <v/>
      </c>
      <c r="G257" s="46" t="str">
        <f>IFERROR(INDEX(BudgetApprop_Data[House: % Change from 2019], MATCH(FPWA_HelperTable[[#This Row],[CFDA]], BudgetApprop_Data[CFDA], 0)), "")</f>
        <v/>
      </c>
      <c r="H257" s="36" t="str">
        <f t="shared" si="13"/>
        <v/>
      </c>
      <c r="I257" s="35" t="str">
        <f>IF(B257 = "", "", IF(FPWA_HelperTable[[#This Row],[President $ Change]]&lt;&gt;"", RANK(F257, $F$6:$F$262)+COUNTIF($F$6:F257, F257)-1, 0))</f>
        <v/>
      </c>
      <c r="J257" s="35" t="str">
        <f>IFERROR((IF(I257= 0, COUNTIF($I$6:I257, 0), "")+MAX($I$6:$I$262)), "")</f>
        <v/>
      </c>
      <c r="K257" s="35" t="str">
        <f t="shared" si="14"/>
        <v/>
      </c>
      <c r="N257" s="34">
        <v>252</v>
      </c>
      <c r="O257" s="33" t="str">
        <f t="shared" si="15"/>
        <v/>
      </c>
    </row>
    <row r="258" spans="1:15" x14ac:dyDescent="0.25">
      <c r="B258" s="35" t="str">
        <f>IF(Control!$O261="","",INDEX(MemberOrg_Data[CFDA], Control!$O261))</f>
        <v/>
      </c>
      <c r="C258" s="35" t="str">
        <f t="array" ref="C258">IFERROR(INDEX(MemberOrg_Data[FEDERALPROGRAMNAME], MATCH(1, (SelectMemberOrg = MemberOrg_Data[Auditee Name])*(B258 = MemberOrg_Data[CFDA]), 0)), "")</f>
        <v/>
      </c>
      <c r="D258" s="36" t="str">
        <f>IFERROR(IF(B258 &lt;&gt; "", SUMIFS(MemberOrg_Data[Total Amount], MemberOrg_Data[Auditee Name], SelectMemberOrg, MemberOrg_Data[CFDA], B258), ""), "")</f>
        <v/>
      </c>
      <c r="E258" s="37" t="str">
        <f>IFERROR(INDEX(BudgetApprop_Data[President: % Change from 2019], MATCH(B258, BudgetApprop_Data[CFDA], 0)), "")</f>
        <v/>
      </c>
      <c r="F258" s="36" t="str">
        <f t="shared" si="12"/>
        <v/>
      </c>
      <c r="G258" s="46" t="str">
        <f>IFERROR(INDEX(BudgetApprop_Data[House: % Change from 2019], MATCH(FPWA_HelperTable[[#This Row],[CFDA]], BudgetApprop_Data[CFDA], 0)), "")</f>
        <v/>
      </c>
      <c r="H258" s="36" t="str">
        <f t="shared" si="13"/>
        <v/>
      </c>
      <c r="I258" s="35" t="str">
        <f>IF(B258 = "", "", IF(FPWA_HelperTable[[#This Row],[President $ Change]]&lt;&gt;"", RANK(F258, $F$6:$F$262)+COUNTIF($F$6:F258, F258)-1, 0))</f>
        <v/>
      </c>
      <c r="J258" s="35" t="str">
        <f>IFERROR((IF(I258= 0, COUNTIF($I$6:I258, 0), "")+MAX($I$6:$I$262)), "")</f>
        <v/>
      </c>
      <c r="K258" s="35" t="str">
        <f t="shared" si="14"/>
        <v/>
      </c>
      <c r="N258" s="34">
        <v>253</v>
      </c>
      <c r="O258" s="33" t="str">
        <f t="shared" si="15"/>
        <v/>
      </c>
    </row>
    <row r="259" spans="1:15" x14ac:dyDescent="0.25">
      <c r="B259" s="35" t="str">
        <f>IF(Control!$O262="","",INDEX(MemberOrg_Data[CFDA], Control!$O262))</f>
        <v/>
      </c>
      <c r="C259" s="35" t="str">
        <f t="array" ref="C259">IFERROR(INDEX(MemberOrg_Data[FEDERALPROGRAMNAME], MATCH(1, (SelectMemberOrg = MemberOrg_Data[Auditee Name])*(B259 = MemberOrg_Data[CFDA]), 0)), "")</f>
        <v/>
      </c>
      <c r="D259" s="36" t="str">
        <f>IFERROR(IF(B259 &lt;&gt; "", SUMIFS(MemberOrg_Data[Total Amount], MemberOrg_Data[Auditee Name], SelectMemberOrg, MemberOrg_Data[CFDA], B259), ""), "")</f>
        <v/>
      </c>
      <c r="E259" s="37" t="str">
        <f>IFERROR(INDEX(BudgetApprop_Data[President: % Change from 2019], MATCH(B259, BudgetApprop_Data[CFDA], 0)), "")</f>
        <v/>
      </c>
      <c r="F259" s="36" t="str">
        <f t="shared" si="12"/>
        <v/>
      </c>
      <c r="G259" s="46" t="str">
        <f>IFERROR(INDEX(BudgetApprop_Data[House: % Change from 2019], MATCH(FPWA_HelperTable[[#This Row],[CFDA]], BudgetApprop_Data[CFDA], 0)), "")</f>
        <v/>
      </c>
      <c r="H259" s="36" t="str">
        <f t="shared" si="13"/>
        <v/>
      </c>
      <c r="I259" s="35" t="str">
        <f>IF(B259 = "", "", IF(FPWA_HelperTable[[#This Row],[President $ Change]]&lt;&gt;"", RANK(F259, $F$6:$F$262)+COUNTIF($F$6:F259, F259)-1, 0))</f>
        <v/>
      </c>
      <c r="J259" s="35" t="str">
        <f>IFERROR((IF(I259= 0, COUNTIF($I$6:I259, 0), "")+MAX($I$6:$I$262)), "")</f>
        <v/>
      </c>
      <c r="K259" s="35" t="str">
        <f t="shared" si="14"/>
        <v/>
      </c>
      <c r="N259" s="34">
        <v>254</v>
      </c>
      <c r="O259" s="33" t="str">
        <f t="shared" si="15"/>
        <v/>
      </c>
    </row>
    <row r="260" spans="1:15" x14ac:dyDescent="0.25">
      <c r="B260" s="35" t="str">
        <f>IF(Control!$O263="","",INDEX(MemberOrg_Data[CFDA], Control!$O263))</f>
        <v/>
      </c>
      <c r="C260" s="35" t="str">
        <f t="array" ref="C260">IFERROR(INDEX(MemberOrg_Data[FEDERALPROGRAMNAME], MATCH(1, (SelectMemberOrg = MemberOrg_Data[Auditee Name])*(B260 = MemberOrg_Data[CFDA]), 0)), "")</f>
        <v/>
      </c>
      <c r="D260" s="36" t="str">
        <f>IFERROR(IF(B260 &lt;&gt; "", SUMIFS(MemberOrg_Data[Total Amount], MemberOrg_Data[Auditee Name], SelectMemberOrg, MemberOrg_Data[CFDA], B260), ""), "")</f>
        <v/>
      </c>
      <c r="E260" s="37" t="str">
        <f>IFERROR(INDEX(BudgetApprop_Data[President: % Change from 2019], MATCH(B260, BudgetApprop_Data[CFDA], 0)), "")</f>
        <v/>
      </c>
      <c r="F260" s="36" t="str">
        <f t="shared" si="12"/>
        <v/>
      </c>
      <c r="G260" s="46" t="str">
        <f>IFERROR(INDEX(BudgetApprop_Data[House: % Change from 2019], MATCH(FPWA_HelperTable[[#This Row],[CFDA]], BudgetApprop_Data[CFDA], 0)), "")</f>
        <v/>
      </c>
      <c r="H260" s="36" t="str">
        <f t="shared" si="13"/>
        <v/>
      </c>
      <c r="I260" s="35" t="str">
        <f>IF(B260 = "", "", IF(FPWA_HelperTable[[#This Row],[President $ Change]]&lt;&gt;"", RANK(F260, $F$6:$F$262)+COUNTIF($F$6:F260, F260)-1, 0))</f>
        <v/>
      </c>
      <c r="J260" s="35" t="str">
        <f>IFERROR((IF(I260= 0, COUNTIF($I$6:I260, 0), "")+MAX($I$6:$I$262)), "")</f>
        <v/>
      </c>
      <c r="K260" s="35" t="str">
        <f t="shared" si="14"/>
        <v/>
      </c>
      <c r="N260" s="34">
        <v>255</v>
      </c>
      <c r="O260" s="33" t="str">
        <f t="shared" si="15"/>
        <v/>
      </c>
    </row>
    <row r="261" spans="1:15" x14ac:dyDescent="0.25">
      <c r="B261" s="35" t="str">
        <f>IF(Control!$O264="","",INDEX(MemberOrg_Data[CFDA], Control!$O264))</f>
        <v/>
      </c>
      <c r="C261" s="35" t="str">
        <f t="array" ref="C261">IFERROR(INDEX(MemberOrg_Data[FEDERALPROGRAMNAME], MATCH(1, (SelectMemberOrg = MemberOrg_Data[Auditee Name])*(B261 = MemberOrg_Data[CFDA]), 0)), "")</f>
        <v/>
      </c>
      <c r="D261" s="36" t="str">
        <f>IFERROR(IF(B261 &lt;&gt; "", SUMIFS(MemberOrg_Data[Total Amount], MemberOrg_Data[Auditee Name], SelectMemberOrg, MemberOrg_Data[CFDA], B261), ""), "")</f>
        <v/>
      </c>
      <c r="E261" s="37" t="str">
        <f>IFERROR(INDEX(BudgetApprop_Data[President: % Change from 2019], MATCH(B261, BudgetApprop_Data[CFDA], 0)), "")</f>
        <v/>
      </c>
      <c r="F261" s="36" t="str">
        <f t="shared" si="12"/>
        <v/>
      </c>
      <c r="G261" s="46" t="str">
        <f>IFERROR(INDEX(BudgetApprop_Data[House: % Change from 2019], MATCH(FPWA_HelperTable[[#This Row],[CFDA]], BudgetApprop_Data[CFDA], 0)), "")</f>
        <v/>
      </c>
      <c r="H261" s="36" t="str">
        <f t="shared" si="13"/>
        <v/>
      </c>
      <c r="I261" s="35" t="str">
        <f>IF(B261 = "", "", IF(FPWA_HelperTable[[#This Row],[President $ Change]]&lt;&gt;"", RANK(F261, $F$6:$F$262)+COUNTIF($F$6:F261, F261)-1, 0))</f>
        <v/>
      </c>
      <c r="J261" s="35" t="str">
        <f>IFERROR((IF(I261= 0, COUNTIF($I$6:I261, 0), "")+MAX($I$6:$I$262)), "")</f>
        <v/>
      </c>
      <c r="K261" s="35" t="str">
        <f t="shared" si="14"/>
        <v/>
      </c>
      <c r="N261" s="34">
        <v>256</v>
      </c>
      <c r="O261" s="33" t="str">
        <f t="shared" si="15"/>
        <v/>
      </c>
    </row>
    <row r="262" spans="1:15" x14ac:dyDescent="0.25">
      <c r="A262" s="35"/>
      <c r="B262" s="35" t="str">
        <f>IF(Control!$O265="","",INDEX(MemberOrg_Data[CFDA], Control!$O265))</f>
        <v/>
      </c>
      <c r="C262" s="35" t="str">
        <f t="array" ref="C262">IFERROR(INDEX(MemberOrg_Data[FEDERALPROGRAMNAME], MATCH(1, (SelectMemberOrg = MemberOrg_Data[Auditee Name])*(B262 = MemberOrg_Data[CFDA]), 0)), "")</f>
        <v/>
      </c>
      <c r="D262" s="36" t="str">
        <f>IFERROR(IF(B262 &lt;&gt; "", SUMIFS(MemberOrg_Data[Total Amount], MemberOrg_Data[Auditee Name], SelectMemberOrg, MemberOrg_Data[CFDA], B262), ""), "")</f>
        <v/>
      </c>
      <c r="E262" s="37" t="str">
        <f>IFERROR(INDEX(BudgetApprop_Data[President: % Change from 2019], MATCH(B262, BudgetApprop_Data[CFDA], 0)), "")</f>
        <v/>
      </c>
      <c r="F262" s="36" t="str">
        <f t="shared" ref="F262" si="16">IFERROR(IF(B262&lt;&gt;"", D262*E262, ""), "" )</f>
        <v/>
      </c>
      <c r="G262" s="46" t="str">
        <f>IFERROR(INDEX(BudgetApprop_Data[House: % Change from 2019], MATCH(FPWA_HelperTable[[#This Row],[CFDA]], BudgetApprop_Data[CFDA], 0)), "")</f>
        <v/>
      </c>
      <c r="H262" s="36" t="str">
        <f t="shared" si="13"/>
        <v/>
      </c>
      <c r="I262" s="35" t="str">
        <f>IF(B262 = "", "", IF(FPWA_HelperTable[[#This Row],[President $ Change]]&lt;&gt;"", RANK(F262, $F$6:$F$262)+COUNTIF($F$6:F262, F262)-1, 0))</f>
        <v/>
      </c>
      <c r="J262" s="35" t="str">
        <f>IFERROR((IF(I262= 0, COUNTIF($I$6:I262, 0), "")+MAX($I$6:$I$262)), "")</f>
        <v/>
      </c>
      <c r="K262" s="35" t="str">
        <f t="shared" si="14"/>
        <v/>
      </c>
      <c r="N262" s="34">
        <v>257</v>
      </c>
      <c r="O262" s="33" t="str">
        <f t="shared" si="15"/>
        <v/>
      </c>
    </row>
    <row r="263" spans="1:15" x14ac:dyDescent="0.25">
      <c r="N263" s="34"/>
      <c r="O263" s="33" t="str">
        <f t="shared" ref="O263" si="17">IFERROR(INDEX($B$6:$B$262, MATCH(N263, $K$6:$K$262, 0)), 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96CC-BE76-4717-B215-26768D906C22}">
  <sheetPr codeName="Sheet6"/>
  <dimension ref="A3:F265"/>
  <sheetViews>
    <sheetView workbookViewId="0">
      <selection activeCell="E15" sqref="E15"/>
    </sheetView>
  </sheetViews>
  <sheetFormatPr defaultRowHeight="15" x14ac:dyDescent="0.25"/>
  <cols>
    <col min="1" max="1" width="50.5703125" bestFit="1" customWidth="1"/>
    <col min="2" max="2" width="32" bestFit="1" customWidth="1"/>
    <col min="3" max="3" width="22" bestFit="1" customWidth="1"/>
    <col min="4" max="4" width="13.42578125" bestFit="1" customWidth="1"/>
    <col min="5" max="5" width="52" bestFit="1" customWidth="1"/>
    <col min="6" max="6" width="20.140625" customWidth="1"/>
  </cols>
  <sheetData>
    <row r="3" spans="1:6" x14ac:dyDescent="0.25">
      <c r="A3" s="42" t="s">
        <v>257</v>
      </c>
      <c r="B3" t="s">
        <v>440</v>
      </c>
      <c r="E3" t="s">
        <v>435</v>
      </c>
      <c r="F3" t="s">
        <v>4</v>
      </c>
    </row>
    <row r="4" spans="1:6" x14ac:dyDescent="0.25">
      <c r="A4" s="20" t="s">
        <v>76</v>
      </c>
      <c r="B4" s="43">
        <v>2428.8240000000001</v>
      </c>
      <c r="E4" t="str">
        <f>IFERROR(INDEX(A4:A8, MATCH(F4, B4:B8, 0)), "")</f>
        <v>CHILD AND ADULT CARE FOOD PROGRAM</v>
      </c>
      <c r="F4" s="13">
        <f t="shared" ref="F4:F67" si="0">IFERROR(GETPIVOTDATA("Sum of President Budget $ Change", $A4, "Grant Name", A4), "")</f>
        <v>2428.8240000000001</v>
      </c>
    </row>
    <row r="5" spans="1:6" x14ac:dyDescent="0.25">
      <c r="A5" s="20" t="s">
        <v>116</v>
      </c>
      <c r="B5" s="43">
        <v>599.80799999999999</v>
      </c>
      <c r="E5" t="str">
        <f t="shared" ref="E5:E68" si="1">IFERROR(INDEX(A5:A9, MATCH(F5, B5:B9, 0)), "")</f>
        <v>MEDICARE ENROLLMENT ASSISTANCE PROGRAM</v>
      </c>
      <c r="F5" s="13">
        <f t="shared" si="0"/>
        <v>599.80799999999999</v>
      </c>
    </row>
    <row r="6" spans="1:6" x14ac:dyDescent="0.25">
      <c r="A6" s="20" t="s">
        <v>114</v>
      </c>
      <c r="B6" s="43">
        <v>-0.94937183339684772</v>
      </c>
      <c r="E6" t="str">
        <f t="shared" si="1"/>
        <v>NUTRITION SERVICES INCENTIVE PROGRAM</v>
      </c>
      <c r="F6" s="13">
        <f t="shared" si="0"/>
        <v>-0.94937183339684772</v>
      </c>
    </row>
    <row r="7" spans="1:6" x14ac:dyDescent="0.25">
      <c r="A7" s="20" t="s">
        <v>120</v>
      </c>
      <c r="B7" s="43">
        <v>-108.25714919086677</v>
      </c>
      <c r="E7" t="str">
        <f t="shared" si="1"/>
        <v>CHILD SUPPORT ENFORCEMENT</v>
      </c>
      <c r="F7" s="13">
        <f t="shared" si="0"/>
        <v>-108.25714919086677</v>
      </c>
    </row>
    <row r="8" spans="1:6" x14ac:dyDescent="0.25">
      <c r="A8" s="20" t="s">
        <v>110</v>
      </c>
      <c r="B8" s="43">
        <v>-1508.4739999999999</v>
      </c>
      <c r="E8" t="str">
        <f t="shared" si="1"/>
        <v>SPECIAL PROGRAMS FOR THE AGING-TITLE III PART B</v>
      </c>
      <c r="F8" s="13">
        <f t="shared" si="0"/>
        <v>-1508.4739999999999</v>
      </c>
    </row>
    <row r="9" spans="1:6" x14ac:dyDescent="0.25">
      <c r="A9" s="20" t="s">
        <v>112</v>
      </c>
      <c r="B9" s="43">
        <v>-4173.4659999999994</v>
      </c>
      <c r="E9" t="str">
        <f t="shared" si="1"/>
        <v>SPECIAL PROGRAMS FOR THE AGING-TITLE III PART C</v>
      </c>
      <c r="F9" s="13">
        <f t="shared" si="0"/>
        <v>-4173.4659999999994</v>
      </c>
    </row>
    <row r="10" spans="1:6" x14ac:dyDescent="0.25">
      <c r="A10" s="20" t="s">
        <v>91</v>
      </c>
      <c r="B10" s="43">
        <v>-260979</v>
      </c>
      <c r="E10" t="str">
        <f t="shared" si="1"/>
        <v>COMMUNITY SERVICES BLOCK GRANT</v>
      </c>
      <c r="F10" s="13">
        <f t="shared" si="0"/>
        <v>-260979</v>
      </c>
    </row>
    <row r="11" spans="1:6" x14ac:dyDescent="0.25">
      <c r="A11" s="20" t="s">
        <v>102</v>
      </c>
      <c r="B11" s="43">
        <v>-369621</v>
      </c>
      <c r="E11" t="str">
        <f t="shared" si="1"/>
        <v>SOCIAL SERVICES BLOCK GRANT</v>
      </c>
      <c r="F11" s="13">
        <f t="shared" si="0"/>
        <v>-369621</v>
      </c>
    </row>
    <row r="12" spans="1:6" x14ac:dyDescent="0.25">
      <c r="A12" s="20" t="s">
        <v>106</v>
      </c>
      <c r="B12" s="43">
        <v>-1837226</v>
      </c>
      <c r="E12" t="str">
        <f t="shared" si="1"/>
        <v>SENIOR COMMUNITY SERVICE EMPLOYMENT PROGRAM</v>
      </c>
      <c r="F12" s="13">
        <f t="shared" si="0"/>
        <v>-1837226</v>
      </c>
    </row>
    <row r="13" spans="1:6" x14ac:dyDescent="0.25">
      <c r="A13" s="20" t="s">
        <v>258</v>
      </c>
      <c r="B13" s="43">
        <v>-2470588.5145210237</v>
      </c>
      <c r="E13" t="str">
        <f t="shared" si="1"/>
        <v/>
      </c>
      <c r="F13" s="13" t="str">
        <f t="shared" si="0"/>
        <v/>
      </c>
    </row>
    <row r="14" spans="1:6" x14ac:dyDescent="0.25">
      <c r="E14" t="str">
        <f t="shared" si="1"/>
        <v/>
      </c>
      <c r="F14" s="13" t="str">
        <f t="shared" si="0"/>
        <v/>
      </c>
    </row>
    <row r="15" spans="1:6" x14ac:dyDescent="0.25">
      <c r="E15" t="str">
        <f t="shared" si="1"/>
        <v/>
      </c>
      <c r="F15" s="13" t="str">
        <f t="shared" si="0"/>
        <v/>
      </c>
    </row>
    <row r="16" spans="1:6" x14ac:dyDescent="0.25">
      <c r="E16" t="str">
        <f t="shared" si="1"/>
        <v/>
      </c>
      <c r="F16" s="13" t="str">
        <f t="shared" si="0"/>
        <v/>
      </c>
    </row>
    <row r="17" spans="5:6" x14ac:dyDescent="0.25">
      <c r="E17" t="str">
        <f t="shared" si="1"/>
        <v/>
      </c>
      <c r="F17" s="13" t="str">
        <f t="shared" si="0"/>
        <v/>
      </c>
    </row>
    <row r="18" spans="5:6" x14ac:dyDescent="0.25">
      <c r="E18" t="str">
        <f t="shared" si="1"/>
        <v/>
      </c>
      <c r="F18" s="13" t="str">
        <f t="shared" si="0"/>
        <v/>
      </c>
    </row>
    <row r="19" spans="5:6" x14ac:dyDescent="0.25">
      <c r="E19" t="str">
        <f t="shared" si="1"/>
        <v/>
      </c>
      <c r="F19" s="13" t="str">
        <f t="shared" si="0"/>
        <v/>
      </c>
    </row>
    <row r="20" spans="5:6" x14ac:dyDescent="0.25">
      <c r="E20" t="str">
        <f t="shared" si="1"/>
        <v/>
      </c>
      <c r="F20" s="13" t="str">
        <f t="shared" si="0"/>
        <v/>
      </c>
    </row>
    <row r="21" spans="5:6" x14ac:dyDescent="0.25">
      <c r="E21" t="str">
        <f t="shared" si="1"/>
        <v/>
      </c>
      <c r="F21" s="13" t="str">
        <f t="shared" si="0"/>
        <v/>
      </c>
    </row>
    <row r="22" spans="5:6" x14ac:dyDescent="0.25">
      <c r="E22" t="str">
        <f t="shared" si="1"/>
        <v/>
      </c>
      <c r="F22" s="13" t="str">
        <f t="shared" si="0"/>
        <v/>
      </c>
    </row>
    <row r="23" spans="5:6" x14ac:dyDescent="0.25">
      <c r="E23" t="str">
        <f t="shared" si="1"/>
        <v/>
      </c>
      <c r="F23" s="13" t="str">
        <f t="shared" si="0"/>
        <v/>
      </c>
    </row>
    <row r="24" spans="5:6" x14ac:dyDescent="0.25">
      <c r="E24" t="str">
        <f t="shared" si="1"/>
        <v/>
      </c>
      <c r="F24" s="13" t="str">
        <f t="shared" si="0"/>
        <v/>
      </c>
    </row>
    <row r="25" spans="5:6" x14ac:dyDescent="0.25">
      <c r="E25" t="str">
        <f t="shared" si="1"/>
        <v/>
      </c>
      <c r="F25" s="13" t="str">
        <f t="shared" si="0"/>
        <v/>
      </c>
    </row>
    <row r="26" spans="5:6" x14ac:dyDescent="0.25">
      <c r="E26" t="str">
        <f t="shared" si="1"/>
        <v/>
      </c>
      <c r="F26" s="13" t="str">
        <f t="shared" si="0"/>
        <v/>
      </c>
    </row>
    <row r="27" spans="5:6" x14ac:dyDescent="0.25">
      <c r="E27" t="str">
        <f t="shared" si="1"/>
        <v/>
      </c>
      <c r="F27" s="13" t="str">
        <f t="shared" si="0"/>
        <v/>
      </c>
    </row>
    <row r="28" spans="5:6" x14ac:dyDescent="0.25">
      <c r="E28" t="str">
        <f t="shared" si="1"/>
        <v/>
      </c>
      <c r="F28" s="13" t="str">
        <f t="shared" si="0"/>
        <v/>
      </c>
    </row>
    <row r="29" spans="5:6" x14ac:dyDescent="0.25">
      <c r="E29" t="str">
        <f t="shared" si="1"/>
        <v/>
      </c>
      <c r="F29" s="13" t="str">
        <f t="shared" si="0"/>
        <v/>
      </c>
    </row>
    <row r="30" spans="5:6" x14ac:dyDescent="0.25">
      <c r="E30" t="str">
        <f t="shared" si="1"/>
        <v/>
      </c>
      <c r="F30" s="13" t="str">
        <f t="shared" si="0"/>
        <v/>
      </c>
    </row>
    <row r="31" spans="5:6" x14ac:dyDescent="0.25">
      <c r="E31" t="str">
        <f t="shared" si="1"/>
        <v/>
      </c>
      <c r="F31" s="13" t="str">
        <f t="shared" si="0"/>
        <v/>
      </c>
    </row>
    <row r="32" spans="5:6" x14ac:dyDescent="0.25">
      <c r="E32" t="str">
        <f t="shared" si="1"/>
        <v/>
      </c>
      <c r="F32" s="13" t="str">
        <f t="shared" si="0"/>
        <v/>
      </c>
    </row>
    <row r="33" spans="5:6" x14ac:dyDescent="0.25">
      <c r="E33" t="str">
        <f t="shared" si="1"/>
        <v/>
      </c>
      <c r="F33" s="13" t="str">
        <f t="shared" si="0"/>
        <v/>
      </c>
    </row>
    <row r="34" spans="5:6" x14ac:dyDescent="0.25">
      <c r="E34" t="str">
        <f t="shared" si="1"/>
        <v/>
      </c>
      <c r="F34" s="13" t="str">
        <f t="shared" si="0"/>
        <v/>
      </c>
    </row>
    <row r="35" spans="5:6" x14ac:dyDescent="0.25">
      <c r="E35" t="str">
        <f t="shared" si="1"/>
        <v/>
      </c>
      <c r="F35" s="13" t="str">
        <f t="shared" si="0"/>
        <v/>
      </c>
    </row>
    <row r="36" spans="5:6" x14ac:dyDescent="0.25">
      <c r="E36" t="str">
        <f t="shared" si="1"/>
        <v/>
      </c>
      <c r="F36" s="13" t="str">
        <f t="shared" si="0"/>
        <v/>
      </c>
    </row>
    <row r="37" spans="5:6" x14ac:dyDescent="0.25">
      <c r="E37" t="str">
        <f t="shared" si="1"/>
        <v/>
      </c>
      <c r="F37" s="13" t="str">
        <f t="shared" si="0"/>
        <v/>
      </c>
    </row>
    <row r="38" spans="5:6" x14ac:dyDescent="0.25">
      <c r="E38" t="str">
        <f t="shared" si="1"/>
        <v/>
      </c>
      <c r="F38" s="13" t="str">
        <f t="shared" si="0"/>
        <v/>
      </c>
    </row>
    <row r="39" spans="5:6" x14ac:dyDescent="0.25">
      <c r="E39" t="str">
        <f t="shared" si="1"/>
        <v/>
      </c>
      <c r="F39" s="13" t="str">
        <f t="shared" si="0"/>
        <v/>
      </c>
    </row>
    <row r="40" spans="5:6" x14ac:dyDescent="0.25">
      <c r="E40" t="str">
        <f t="shared" si="1"/>
        <v/>
      </c>
      <c r="F40" s="13" t="str">
        <f t="shared" si="0"/>
        <v/>
      </c>
    </row>
    <row r="41" spans="5:6" x14ac:dyDescent="0.25">
      <c r="E41" t="str">
        <f t="shared" si="1"/>
        <v/>
      </c>
      <c r="F41" s="13" t="str">
        <f t="shared" si="0"/>
        <v/>
      </c>
    </row>
    <row r="42" spans="5:6" x14ac:dyDescent="0.25">
      <c r="E42" t="str">
        <f t="shared" si="1"/>
        <v/>
      </c>
      <c r="F42" s="13" t="str">
        <f t="shared" si="0"/>
        <v/>
      </c>
    </row>
    <row r="43" spans="5:6" x14ac:dyDescent="0.25">
      <c r="E43" t="str">
        <f t="shared" si="1"/>
        <v/>
      </c>
      <c r="F43" s="13" t="str">
        <f t="shared" si="0"/>
        <v/>
      </c>
    </row>
    <row r="44" spans="5:6" x14ac:dyDescent="0.25">
      <c r="E44" t="str">
        <f t="shared" si="1"/>
        <v/>
      </c>
      <c r="F44" s="13" t="str">
        <f t="shared" si="0"/>
        <v/>
      </c>
    </row>
    <row r="45" spans="5:6" x14ac:dyDescent="0.25">
      <c r="E45" t="str">
        <f t="shared" si="1"/>
        <v/>
      </c>
      <c r="F45" s="13" t="str">
        <f t="shared" si="0"/>
        <v/>
      </c>
    </row>
    <row r="46" spans="5:6" x14ac:dyDescent="0.25">
      <c r="E46" t="str">
        <f t="shared" si="1"/>
        <v/>
      </c>
      <c r="F46" s="13" t="str">
        <f t="shared" si="0"/>
        <v/>
      </c>
    </row>
    <row r="47" spans="5:6" x14ac:dyDescent="0.25">
      <c r="E47" t="str">
        <f t="shared" si="1"/>
        <v/>
      </c>
      <c r="F47" s="13" t="str">
        <f t="shared" si="0"/>
        <v/>
      </c>
    </row>
    <row r="48" spans="5:6" x14ac:dyDescent="0.25">
      <c r="E48" t="str">
        <f t="shared" si="1"/>
        <v/>
      </c>
      <c r="F48" s="13" t="str">
        <f t="shared" si="0"/>
        <v/>
      </c>
    </row>
    <row r="49" spans="5:6" x14ac:dyDescent="0.25">
      <c r="E49" t="str">
        <f t="shared" si="1"/>
        <v/>
      </c>
      <c r="F49" s="13" t="str">
        <f t="shared" si="0"/>
        <v/>
      </c>
    </row>
    <row r="50" spans="5:6" x14ac:dyDescent="0.25">
      <c r="E50" t="str">
        <f t="shared" si="1"/>
        <v/>
      </c>
      <c r="F50" s="13" t="str">
        <f t="shared" si="0"/>
        <v/>
      </c>
    </row>
    <row r="51" spans="5:6" x14ac:dyDescent="0.25">
      <c r="E51" t="str">
        <f t="shared" si="1"/>
        <v/>
      </c>
      <c r="F51" s="13" t="str">
        <f t="shared" si="0"/>
        <v/>
      </c>
    </row>
    <row r="52" spans="5:6" x14ac:dyDescent="0.25">
      <c r="E52" t="str">
        <f t="shared" si="1"/>
        <v/>
      </c>
      <c r="F52" s="13" t="str">
        <f t="shared" si="0"/>
        <v/>
      </c>
    </row>
    <row r="53" spans="5:6" x14ac:dyDescent="0.25">
      <c r="E53" t="str">
        <f t="shared" si="1"/>
        <v/>
      </c>
      <c r="F53" s="13" t="str">
        <f t="shared" si="0"/>
        <v/>
      </c>
    </row>
    <row r="54" spans="5:6" x14ac:dyDescent="0.25">
      <c r="E54" t="str">
        <f t="shared" si="1"/>
        <v/>
      </c>
      <c r="F54" s="13" t="str">
        <f t="shared" si="0"/>
        <v/>
      </c>
    </row>
    <row r="55" spans="5:6" x14ac:dyDescent="0.25">
      <c r="E55" t="str">
        <f t="shared" si="1"/>
        <v/>
      </c>
      <c r="F55" s="13" t="str">
        <f t="shared" si="0"/>
        <v/>
      </c>
    </row>
    <row r="56" spans="5:6" x14ac:dyDescent="0.25">
      <c r="E56" t="str">
        <f t="shared" si="1"/>
        <v/>
      </c>
      <c r="F56" s="13" t="str">
        <f t="shared" si="0"/>
        <v/>
      </c>
    </row>
    <row r="57" spans="5:6" x14ac:dyDescent="0.25">
      <c r="E57" t="str">
        <f t="shared" si="1"/>
        <v/>
      </c>
      <c r="F57" s="13" t="str">
        <f t="shared" si="0"/>
        <v/>
      </c>
    </row>
    <row r="58" spans="5:6" x14ac:dyDescent="0.25">
      <c r="E58" t="str">
        <f t="shared" si="1"/>
        <v/>
      </c>
      <c r="F58" s="13" t="str">
        <f t="shared" si="0"/>
        <v/>
      </c>
    </row>
    <row r="59" spans="5:6" x14ac:dyDescent="0.25">
      <c r="E59" t="str">
        <f t="shared" si="1"/>
        <v/>
      </c>
      <c r="F59" s="13" t="str">
        <f t="shared" si="0"/>
        <v/>
      </c>
    </row>
    <row r="60" spans="5:6" x14ac:dyDescent="0.25">
      <c r="E60" t="str">
        <f t="shared" si="1"/>
        <v/>
      </c>
      <c r="F60" s="13" t="str">
        <f t="shared" si="0"/>
        <v/>
      </c>
    </row>
    <row r="61" spans="5:6" x14ac:dyDescent="0.25">
      <c r="E61" t="str">
        <f t="shared" si="1"/>
        <v/>
      </c>
      <c r="F61" s="13" t="str">
        <f t="shared" si="0"/>
        <v/>
      </c>
    </row>
    <row r="62" spans="5:6" x14ac:dyDescent="0.25">
      <c r="E62" t="str">
        <f t="shared" si="1"/>
        <v/>
      </c>
      <c r="F62" s="13" t="str">
        <f t="shared" si="0"/>
        <v/>
      </c>
    </row>
    <row r="63" spans="5:6" x14ac:dyDescent="0.25">
      <c r="E63" t="str">
        <f t="shared" si="1"/>
        <v/>
      </c>
      <c r="F63" s="13" t="str">
        <f t="shared" si="0"/>
        <v/>
      </c>
    </row>
    <row r="64" spans="5:6" x14ac:dyDescent="0.25">
      <c r="E64" t="str">
        <f t="shared" si="1"/>
        <v/>
      </c>
      <c r="F64" s="13" t="str">
        <f t="shared" si="0"/>
        <v/>
      </c>
    </row>
    <row r="65" spans="5:6" x14ac:dyDescent="0.25">
      <c r="E65" t="str">
        <f t="shared" si="1"/>
        <v/>
      </c>
      <c r="F65" s="13" t="str">
        <f t="shared" si="0"/>
        <v/>
      </c>
    </row>
    <row r="66" spans="5:6" x14ac:dyDescent="0.25">
      <c r="E66" t="str">
        <f t="shared" si="1"/>
        <v/>
      </c>
      <c r="F66" s="13" t="str">
        <f t="shared" si="0"/>
        <v/>
      </c>
    </row>
    <row r="67" spans="5:6" x14ac:dyDescent="0.25">
      <c r="E67" t="str">
        <f t="shared" si="1"/>
        <v/>
      </c>
      <c r="F67" s="13" t="str">
        <f t="shared" si="0"/>
        <v/>
      </c>
    </row>
    <row r="68" spans="5:6" x14ac:dyDescent="0.25">
      <c r="E68" t="str">
        <f t="shared" si="1"/>
        <v/>
      </c>
      <c r="F68" s="13" t="str">
        <f t="shared" ref="F68:F131" si="2">IFERROR(GETPIVOTDATA("Sum of President Budget $ Change", $A68, "Grant Name", A68), "")</f>
        <v/>
      </c>
    </row>
    <row r="69" spans="5:6" x14ac:dyDescent="0.25">
      <c r="E69" t="str">
        <f t="shared" ref="E69:E132" si="3">IFERROR(INDEX(A69:A73, MATCH(F69, B69:B73, 0)), "")</f>
        <v/>
      </c>
      <c r="F69" s="13" t="str">
        <f t="shared" si="2"/>
        <v/>
      </c>
    </row>
    <row r="70" spans="5:6" x14ac:dyDescent="0.25">
      <c r="E70" t="str">
        <f t="shared" si="3"/>
        <v/>
      </c>
      <c r="F70" s="13" t="str">
        <f t="shared" si="2"/>
        <v/>
      </c>
    </row>
    <row r="71" spans="5:6" x14ac:dyDescent="0.25">
      <c r="E71" t="str">
        <f t="shared" si="3"/>
        <v/>
      </c>
      <c r="F71" s="13" t="str">
        <f t="shared" si="2"/>
        <v/>
      </c>
    </row>
    <row r="72" spans="5:6" x14ac:dyDescent="0.25">
      <c r="E72" t="str">
        <f t="shared" si="3"/>
        <v/>
      </c>
      <c r="F72" s="13" t="str">
        <f t="shared" si="2"/>
        <v/>
      </c>
    </row>
    <row r="73" spans="5:6" x14ac:dyDescent="0.25">
      <c r="E73" t="str">
        <f t="shared" si="3"/>
        <v/>
      </c>
      <c r="F73" s="13" t="str">
        <f t="shared" si="2"/>
        <v/>
      </c>
    </row>
    <row r="74" spans="5:6" x14ac:dyDescent="0.25">
      <c r="E74" t="str">
        <f t="shared" si="3"/>
        <v/>
      </c>
      <c r="F74" s="13" t="str">
        <f t="shared" si="2"/>
        <v/>
      </c>
    </row>
    <row r="75" spans="5:6" x14ac:dyDescent="0.25">
      <c r="E75" t="str">
        <f t="shared" si="3"/>
        <v/>
      </c>
      <c r="F75" s="13" t="str">
        <f t="shared" si="2"/>
        <v/>
      </c>
    </row>
    <row r="76" spans="5:6" x14ac:dyDescent="0.25">
      <c r="E76" t="str">
        <f t="shared" si="3"/>
        <v/>
      </c>
      <c r="F76" s="13" t="str">
        <f t="shared" si="2"/>
        <v/>
      </c>
    </row>
    <row r="77" spans="5:6" x14ac:dyDescent="0.25">
      <c r="E77" t="str">
        <f t="shared" si="3"/>
        <v/>
      </c>
      <c r="F77" s="13" t="str">
        <f t="shared" si="2"/>
        <v/>
      </c>
    </row>
    <row r="78" spans="5:6" x14ac:dyDescent="0.25">
      <c r="E78" t="str">
        <f t="shared" si="3"/>
        <v/>
      </c>
      <c r="F78" s="13" t="str">
        <f t="shared" si="2"/>
        <v/>
      </c>
    </row>
    <row r="79" spans="5:6" x14ac:dyDescent="0.25">
      <c r="E79" t="str">
        <f t="shared" si="3"/>
        <v/>
      </c>
      <c r="F79" s="13" t="str">
        <f t="shared" si="2"/>
        <v/>
      </c>
    </row>
    <row r="80" spans="5:6" x14ac:dyDescent="0.25">
      <c r="E80" t="str">
        <f t="shared" si="3"/>
        <v/>
      </c>
      <c r="F80" s="13" t="str">
        <f t="shared" si="2"/>
        <v/>
      </c>
    </row>
    <row r="81" spans="5:6" x14ac:dyDescent="0.25">
      <c r="E81" t="str">
        <f t="shared" si="3"/>
        <v/>
      </c>
      <c r="F81" s="13" t="str">
        <f t="shared" si="2"/>
        <v/>
      </c>
    </row>
    <row r="82" spans="5:6" x14ac:dyDescent="0.25">
      <c r="E82" t="str">
        <f t="shared" si="3"/>
        <v/>
      </c>
      <c r="F82" s="13" t="str">
        <f t="shared" si="2"/>
        <v/>
      </c>
    </row>
    <row r="83" spans="5:6" x14ac:dyDescent="0.25">
      <c r="E83" t="str">
        <f t="shared" si="3"/>
        <v/>
      </c>
      <c r="F83" s="13" t="str">
        <f t="shared" si="2"/>
        <v/>
      </c>
    </row>
    <row r="84" spans="5:6" x14ac:dyDescent="0.25">
      <c r="E84" t="str">
        <f t="shared" si="3"/>
        <v/>
      </c>
      <c r="F84" s="13" t="str">
        <f t="shared" si="2"/>
        <v/>
      </c>
    </row>
    <row r="85" spans="5:6" x14ac:dyDescent="0.25">
      <c r="E85" t="str">
        <f t="shared" si="3"/>
        <v/>
      </c>
      <c r="F85" s="13" t="str">
        <f t="shared" si="2"/>
        <v/>
      </c>
    </row>
    <row r="86" spans="5:6" x14ac:dyDescent="0.25">
      <c r="E86" t="str">
        <f t="shared" si="3"/>
        <v/>
      </c>
      <c r="F86" s="13" t="str">
        <f t="shared" si="2"/>
        <v/>
      </c>
    </row>
    <row r="87" spans="5:6" x14ac:dyDescent="0.25">
      <c r="E87" t="str">
        <f t="shared" si="3"/>
        <v/>
      </c>
      <c r="F87" s="13" t="str">
        <f t="shared" si="2"/>
        <v/>
      </c>
    </row>
    <row r="88" spans="5:6" x14ac:dyDescent="0.25">
      <c r="E88" t="str">
        <f t="shared" si="3"/>
        <v/>
      </c>
      <c r="F88" s="13" t="str">
        <f t="shared" si="2"/>
        <v/>
      </c>
    </row>
    <row r="89" spans="5:6" x14ac:dyDescent="0.25">
      <c r="E89" t="str">
        <f t="shared" si="3"/>
        <v/>
      </c>
      <c r="F89" s="13" t="str">
        <f t="shared" si="2"/>
        <v/>
      </c>
    </row>
    <row r="90" spans="5:6" x14ac:dyDescent="0.25">
      <c r="E90" t="str">
        <f t="shared" si="3"/>
        <v/>
      </c>
      <c r="F90" s="13" t="str">
        <f t="shared" si="2"/>
        <v/>
      </c>
    </row>
    <row r="91" spans="5:6" x14ac:dyDescent="0.25">
      <c r="E91" t="str">
        <f t="shared" si="3"/>
        <v/>
      </c>
      <c r="F91" s="13" t="str">
        <f t="shared" si="2"/>
        <v/>
      </c>
    </row>
    <row r="92" spans="5:6" x14ac:dyDescent="0.25">
      <c r="E92" t="str">
        <f t="shared" si="3"/>
        <v/>
      </c>
      <c r="F92" s="13" t="str">
        <f t="shared" si="2"/>
        <v/>
      </c>
    </row>
    <row r="93" spans="5:6" x14ac:dyDescent="0.25">
      <c r="E93" t="str">
        <f t="shared" si="3"/>
        <v/>
      </c>
      <c r="F93" s="13" t="str">
        <f t="shared" si="2"/>
        <v/>
      </c>
    </row>
    <row r="94" spans="5:6" x14ac:dyDescent="0.25">
      <c r="E94" t="str">
        <f t="shared" si="3"/>
        <v/>
      </c>
      <c r="F94" s="13" t="str">
        <f t="shared" si="2"/>
        <v/>
      </c>
    </row>
    <row r="95" spans="5:6" x14ac:dyDescent="0.25">
      <c r="E95" t="str">
        <f t="shared" si="3"/>
        <v/>
      </c>
      <c r="F95" s="13" t="str">
        <f t="shared" si="2"/>
        <v/>
      </c>
    </row>
    <row r="96" spans="5:6" x14ac:dyDescent="0.25">
      <c r="E96" t="str">
        <f t="shared" si="3"/>
        <v/>
      </c>
      <c r="F96" s="13" t="str">
        <f t="shared" si="2"/>
        <v/>
      </c>
    </row>
    <row r="97" spans="5:6" x14ac:dyDescent="0.25">
      <c r="E97" t="str">
        <f t="shared" si="3"/>
        <v/>
      </c>
      <c r="F97" s="13" t="str">
        <f t="shared" si="2"/>
        <v/>
      </c>
    </row>
    <row r="98" spans="5:6" x14ac:dyDescent="0.25">
      <c r="E98" t="str">
        <f t="shared" si="3"/>
        <v/>
      </c>
      <c r="F98" s="13" t="str">
        <f t="shared" si="2"/>
        <v/>
      </c>
    </row>
    <row r="99" spans="5:6" x14ac:dyDescent="0.25">
      <c r="E99" t="str">
        <f t="shared" si="3"/>
        <v/>
      </c>
      <c r="F99" s="13" t="str">
        <f t="shared" si="2"/>
        <v/>
      </c>
    </row>
    <row r="100" spans="5:6" x14ac:dyDescent="0.25">
      <c r="E100" t="str">
        <f t="shared" si="3"/>
        <v/>
      </c>
      <c r="F100" s="13" t="str">
        <f t="shared" si="2"/>
        <v/>
      </c>
    </row>
    <row r="101" spans="5:6" x14ac:dyDescent="0.25">
      <c r="E101" t="str">
        <f t="shared" si="3"/>
        <v/>
      </c>
      <c r="F101" s="13" t="str">
        <f t="shared" si="2"/>
        <v/>
      </c>
    </row>
    <row r="102" spans="5:6" x14ac:dyDescent="0.25">
      <c r="E102" t="str">
        <f t="shared" si="3"/>
        <v/>
      </c>
      <c r="F102" s="13" t="str">
        <f t="shared" si="2"/>
        <v/>
      </c>
    </row>
    <row r="103" spans="5:6" x14ac:dyDescent="0.25">
      <c r="E103" t="str">
        <f t="shared" si="3"/>
        <v/>
      </c>
      <c r="F103" s="13" t="str">
        <f t="shared" si="2"/>
        <v/>
      </c>
    </row>
    <row r="104" spans="5:6" x14ac:dyDescent="0.25">
      <c r="E104" t="str">
        <f t="shared" si="3"/>
        <v/>
      </c>
      <c r="F104" s="13" t="str">
        <f t="shared" si="2"/>
        <v/>
      </c>
    </row>
    <row r="105" spans="5:6" x14ac:dyDescent="0.25">
      <c r="E105" t="str">
        <f t="shared" si="3"/>
        <v/>
      </c>
      <c r="F105" s="13" t="str">
        <f t="shared" si="2"/>
        <v/>
      </c>
    </row>
    <row r="106" spans="5:6" x14ac:dyDescent="0.25">
      <c r="E106" t="str">
        <f t="shared" si="3"/>
        <v/>
      </c>
      <c r="F106" s="13" t="str">
        <f t="shared" si="2"/>
        <v/>
      </c>
    </row>
    <row r="107" spans="5:6" x14ac:dyDescent="0.25">
      <c r="E107" t="str">
        <f t="shared" si="3"/>
        <v/>
      </c>
      <c r="F107" s="13" t="str">
        <f t="shared" si="2"/>
        <v/>
      </c>
    </row>
    <row r="108" spans="5:6" x14ac:dyDescent="0.25">
      <c r="E108" t="str">
        <f t="shared" si="3"/>
        <v/>
      </c>
      <c r="F108" s="13" t="str">
        <f t="shared" si="2"/>
        <v/>
      </c>
    </row>
    <row r="109" spans="5:6" x14ac:dyDescent="0.25">
      <c r="E109" t="str">
        <f t="shared" si="3"/>
        <v/>
      </c>
      <c r="F109" s="13" t="str">
        <f t="shared" si="2"/>
        <v/>
      </c>
    </row>
    <row r="110" spans="5:6" x14ac:dyDescent="0.25">
      <c r="E110" t="str">
        <f t="shared" si="3"/>
        <v/>
      </c>
      <c r="F110" s="13" t="str">
        <f t="shared" si="2"/>
        <v/>
      </c>
    </row>
    <row r="111" spans="5:6" x14ac:dyDescent="0.25">
      <c r="E111" t="str">
        <f t="shared" si="3"/>
        <v/>
      </c>
      <c r="F111" s="13" t="str">
        <f t="shared" si="2"/>
        <v/>
      </c>
    </row>
    <row r="112" spans="5:6" x14ac:dyDescent="0.25">
      <c r="E112" t="str">
        <f t="shared" si="3"/>
        <v/>
      </c>
      <c r="F112" s="13" t="str">
        <f t="shared" si="2"/>
        <v/>
      </c>
    </row>
    <row r="113" spans="5:6" x14ac:dyDescent="0.25">
      <c r="E113" t="str">
        <f t="shared" si="3"/>
        <v/>
      </c>
      <c r="F113" s="13" t="str">
        <f t="shared" si="2"/>
        <v/>
      </c>
    </row>
    <row r="114" spans="5:6" x14ac:dyDescent="0.25">
      <c r="E114" t="str">
        <f t="shared" si="3"/>
        <v/>
      </c>
      <c r="F114" s="13" t="str">
        <f t="shared" si="2"/>
        <v/>
      </c>
    </row>
    <row r="115" spans="5:6" x14ac:dyDescent="0.25">
      <c r="E115" t="str">
        <f t="shared" si="3"/>
        <v/>
      </c>
      <c r="F115" s="13" t="str">
        <f t="shared" si="2"/>
        <v/>
      </c>
    </row>
    <row r="116" spans="5:6" x14ac:dyDescent="0.25">
      <c r="E116" t="str">
        <f t="shared" si="3"/>
        <v/>
      </c>
      <c r="F116" s="13" t="str">
        <f t="shared" si="2"/>
        <v/>
      </c>
    </row>
    <row r="117" spans="5:6" x14ac:dyDescent="0.25">
      <c r="E117" t="str">
        <f t="shared" si="3"/>
        <v/>
      </c>
      <c r="F117" s="13" t="str">
        <f t="shared" si="2"/>
        <v/>
      </c>
    </row>
    <row r="118" spans="5:6" x14ac:dyDescent="0.25">
      <c r="E118" t="str">
        <f t="shared" si="3"/>
        <v/>
      </c>
      <c r="F118" s="13" t="str">
        <f t="shared" si="2"/>
        <v/>
      </c>
    </row>
    <row r="119" spans="5:6" x14ac:dyDescent="0.25">
      <c r="E119" t="str">
        <f t="shared" si="3"/>
        <v/>
      </c>
      <c r="F119" s="13" t="str">
        <f t="shared" si="2"/>
        <v/>
      </c>
    </row>
    <row r="120" spans="5:6" x14ac:dyDescent="0.25">
      <c r="E120" t="str">
        <f t="shared" si="3"/>
        <v/>
      </c>
      <c r="F120" s="13" t="str">
        <f t="shared" si="2"/>
        <v/>
      </c>
    </row>
    <row r="121" spans="5:6" x14ac:dyDescent="0.25">
      <c r="E121" t="str">
        <f t="shared" si="3"/>
        <v/>
      </c>
      <c r="F121" s="13" t="str">
        <f t="shared" si="2"/>
        <v/>
      </c>
    </row>
    <row r="122" spans="5:6" x14ac:dyDescent="0.25">
      <c r="E122" t="str">
        <f t="shared" si="3"/>
        <v/>
      </c>
      <c r="F122" s="13" t="str">
        <f t="shared" si="2"/>
        <v/>
      </c>
    </row>
    <row r="123" spans="5:6" x14ac:dyDescent="0.25">
      <c r="E123" t="str">
        <f t="shared" si="3"/>
        <v/>
      </c>
      <c r="F123" s="13" t="str">
        <f t="shared" si="2"/>
        <v/>
      </c>
    </row>
    <row r="124" spans="5:6" x14ac:dyDescent="0.25">
      <c r="E124" t="str">
        <f t="shared" si="3"/>
        <v/>
      </c>
      <c r="F124" s="13" t="str">
        <f t="shared" si="2"/>
        <v/>
      </c>
    </row>
    <row r="125" spans="5:6" x14ac:dyDescent="0.25">
      <c r="E125" t="str">
        <f t="shared" si="3"/>
        <v/>
      </c>
      <c r="F125" s="13" t="str">
        <f t="shared" si="2"/>
        <v/>
      </c>
    </row>
    <row r="126" spans="5:6" x14ac:dyDescent="0.25">
      <c r="E126" t="str">
        <f t="shared" si="3"/>
        <v/>
      </c>
      <c r="F126" s="13" t="str">
        <f t="shared" si="2"/>
        <v/>
      </c>
    </row>
    <row r="127" spans="5:6" x14ac:dyDescent="0.25">
      <c r="E127" t="str">
        <f t="shared" si="3"/>
        <v/>
      </c>
      <c r="F127" s="13" t="str">
        <f t="shared" si="2"/>
        <v/>
      </c>
    </row>
    <row r="128" spans="5:6" x14ac:dyDescent="0.25">
      <c r="E128" t="str">
        <f t="shared" si="3"/>
        <v/>
      </c>
      <c r="F128" s="13" t="str">
        <f t="shared" si="2"/>
        <v/>
      </c>
    </row>
    <row r="129" spans="5:6" x14ac:dyDescent="0.25">
      <c r="E129" t="str">
        <f t="shared" si="3"/>
        <v/>
      </c>
      <c r="F129" s="13" t="str">
        <f t="shared" si="2"/>
        <v/>
      </c>
    </row>
    <row r="130" spans="5:6" x14ac:dyDescent="0.25">
      <c r="E130" t="str">
        <f t="shared" si="3"/>
        <v/>
      </c>
      <c r="F130" s="13" t="str">
        <f t="shared" si="2"/>
        <v/>
      </c>
    </row>
    <row r="131" spans="5:6" x14ac:dyDescent="0.25">
      <c r="E131" t="str">
        <f t="shared" si="3"/>
        <v/>
      </c>
      <c r="F131" s="13" t="str">
        <f t="shared" si="2"/>
        <v/>
      </c>
    </row>
    <row r="132" spans="5:6" x14ac:dyDescent="0.25">
      <c r="E132" t="str">
        <f t="shared" si="3"/>
        <v/>
      </c>
      <c r="F132" s="13" t="str">
        <f t="shared" ref="F132:F195" si="4">IFERROR(GETPIVOTDATA("Sum of President Budget $ Change", $A132, "Grant Name", A132), "")</f>
        <v/>
      </c>
    </row>
    <row r="133" spans="5:6" x14ac:dyDescent="0.25">
      <c r="E133" t="str">
        <f t="shared" ref="E133:E196" si="5">IFERROR(INDEX(A133:A137, MATCH(F133, B133:B137, 0)), "")</f>
        <v/>
      </c>
      <c r="F133" s="13" t="str">
        <f t="shared" si="4"/>
        <v/>
      </c>
    </row>
    <row r="134" spans="5:6" x14ac:dyDescent="0.25">
      <c r="E134" t="str">
        <f t="shared" si="5"/>
        <v/>
      </c>
      <c r="F134" s="13" t="str">
        <f t="shared" si="4"/>
        <v/>
      </c>
    </row>
    <row r="135" spans="5:6" x14ac:dyDescent="0.25">
      <c r="E135" t="str">
        <f t="shared" si="5"/>
        <v/>
      </c>
      <c r="F135" s="13" t="str">
        <f t="shared" si="4"/>
        <v/>
      </c>
    </row>
    <row r="136" spans="5:6" x14ac:dyDescent="0.25">
      <c r="E136" t="str">
        <f t="shared" si="5"/>
        <v/>
      </c>
      <c r="F136" s="13" t="str">
        <f t="shared" si="4"/>
        <v/>
      </c>
    </row>
    <row r="137" spans="5:6" x14ac:dyDescent="0.25">
      <c r="E137" t="str">
        <f t="shared" si="5"/>
        <v/>
      </c>
      <c r="F137" s="13" t="str">
        <f t="shared" si="4"/>
        <v/>
      </c>
    </row>
    <row r="138" spans="5:6" x14ac:dyDescent="0.25">
      <c r="E138" t="str">
        <f t="shared" si="5"/>
        <v/>
      </c>
      <c r="F138" s="13" t="str">
        <f t="shared" si="4"/>
        <v/>
      </c>
    </row>
    <row r="139" spans="5:6" x14ac:dyDescent="0.25">
      <c r="E139" t="str">
        <f t="shared" si="5"/>
        <v/>
      </c>
      <c r="F139" s="13" t="str">
        <f t="shared" si="4"/>
        <v/>
      </c>
    </row>
    <row r="140" spans="5:6" x14ac:dyDescent="0.25">
      <c r="E140" t="str">
        <f t="shared" si="5"/>
        <v/>
      </c>
      <c r="F140" s="13" t="str">
        <f t="shared" si="4"/>
        <v/>
      </c>
    </row>
    <row r="141" spans="5:6" x14ac:dyDescent="0.25">
      <c r="E141" t="str">
        <f t="shared" si="5"/>
        <v/>
      </c>
      <c r="F141" s="13" t="str">
        <f t="shared" si="4"/>
        <v/>
      </c>
    </row>
    <row r="142" spans="5:6" x14ac:dyDescent="0.25">
      <c r="E142" t="str">
        <f t="shared" si="5"/>
        <v/>
      </c>
      <c r="F142" s="13" t="str">
        <f t="shared" si="4"/>
        <v/>
      </c>
    </row>
    <row r="143" spans="5:6" x14ac:dyDescent="0.25">
      <c r="E143" t="str">
        <f t="shared" si="5"/>
        <v/>
      </c>
      <c r="F143" s="13" t="str">
        <f t="shared" si="4"/>
        <v/>
      </c>
    </row>
    <row r="144" spans="5:6" x14ac:dyDescent="0.25">
      <c r="E144" t="str">
        <f t="shared" si="5"/>
        <v/>
      </c>
      <c r="F144" s="13" t="str">
        <f t="shared" si="4"/>
        <v/>
      </c>
    </row>
    <row r="145" spans="5:6" x14ac:dyDescent="0.25">
      <c r="E145" t="str">
        <f t="shared" si="5"/>
        <v/>
      </c>
      <c r="F145" s="13" t="str">
        <f t="shared" si="4"/>
        <v/>
      </c>
    </row>
    <row r="146" spans="5:6" x14ac:dyDescent="0.25">
      <c r="E146" t="str">
        <f t="shared" si="5"/>
        <v/>
      </c>
      <c r="F146" s="13" t="str">
        <f t="shared" si="4"/>
        <v/>
      </c>
    </row>
    <row r="147" spans="5:6" x14ac:dyDescent="0.25">
      <c r="E147" t="str">
        <f t="shared" si="5"/>
        <v/>
      </c>
      <c r="F147" s="13" t="str">
        <f t="shared" si="4"/>
        <v/>
      </c>
    </row>
    <row r="148" spans="5:6" x14ac:dyDescent="0.25">
      <c r="E148" t="str">
        <f t="shared" si="5"/>
        <v/>
      </c>
      <c r="F148" s="13" t="str">
        <f t="shared" si="4"/>
        <v/>
      </c>
    </row>
    <row r="149" spans="5:6" x14ac:dyDescent="0.25">
      <c r="E149" t="str">
        <f t="shared" si="5"/>
        <v/>
      </c>
      <c r="F149" s="13" t="str">
        <f t="shared" si="4"/>
        <v/>
      </c>
    </row>
    <row r="150" spans="5:6" x14ac:dyDescent="0.25">
      <c r="E150" t="str">
        <f t="shared" si="5"/>
        <v/>
      </c>
      <c r="F150" s="13" t="str">
        <f t="shared" si="4"/>
        <v/>
      </c>
    </row>
    <row r="151" spans="5:6" x14ac:dyDescent="0.25">
      <c r="E151" t="str">
        <f t="shared" si="5"/>
        <v/>
      </c>
      <c r="F151" s="13" t="str">
        <f t="shared" si="4"/>
        <v/>
      </c>
    </row>
    <row r="152" spans="5:6" x14ac:dyDescent="0.25">
      <c r="E152" t="str">
        <f t="shared" si="5"/>
        <v/>
      </c>
      <c r="F152" s="13" t="str">
        <f t="shared" si="4"/>
        <v/>
      </c>
    </row>
    <row r="153" spans="5:6" x14ac:dyDescent="0.25">
      <c r="E153" t="str">
        <f t="shared" si="5"/>
        <v/>
      </c>
      <c r="F153" s="13" t="str">
        <f t="shared" si="4"/>
        <v/>
      </c>
    </row>
    <row r="154" spans="5:6" x14ac:dyDescent="0.25">
      <c r="E154" t="str">
        <f t="shared" si="5"/>
        <v/>
      </c>
      <c r="F154" s="13" t="str">
        <f t="shared" si="4"/>
        <v/>
      </c>
    </row>
    <row r="155" spans="5:6" x14ac:dyDescent="0.25">
      <c r="E155" t="str">
        <f t="shared" si="5"/>
        <v/>
      </c>
      <c r="F155" s="13" t="str">
        <f t="shared" si="4"/>
        <v/>
      </c>
    </row>
    <row r="156" spans="5:6" x14ac:dyDescent="0.25">
      <c r="E156" t="str">
        <f t="shared" si="5"/>
        <v/>
      </c>
      <c r="F156" s="13" t="str">
        <f t="shared" si="4"/>
        <v/>
      </c>
    </row>
    <row r="157" spans="5:6" x14ac:dyDescent="0.25">
      <c r="E157" t="str">
        <f t="shared" si="5"/>
        <v/>
      </c>
      <c r="F157" s="13" t="str">
        <f t="shared" si="4"/>
        <v/>
      </c>
    </row>
    <row r="158" spans="5:6" x14ac:dyDescent="0.25">
      <c r="E158" t="str">
        <f t="shared" si="5"/>
        <v/>
      </c>
      <c r="F158" s="13" t="str">
        <f t="shared" si="4"/>
        <v/>
      </c>
    </row>
    <row r="159" spans="5:6" x14ac:dyDescent="0.25">
      <c r="E159" t="str">
        <f t="shared" si="5"/>
        <v/>
      </c>
      <c r="F159" s="13" t="str">
        <f t="shared" si="4"/>
        <v/>
      </c>
    </row>
    <row r="160" spans="5:6" x14ac:dyDescent="0.25">
      <c r="E160" t="str">
        <f t="shared" si="5"/>
        <v/>
      </c>
      <c r="F160" s="13" t="str">
        <f t="shared" si="4"/>
        <v/>
      </c>
    </row>
    <row r="161" spans="5:6" x14ac:dyDescent="0.25">
      <c r="E161" t="str">
        <f t="shared" si="5"/>
        <v/>
      </c>
      <c r="F161" s="13" t="str">
        <f t="shared" si="4"/>
        <v/>
      </c>
    </row>
    <row r="162" spans="5:6" x14ac:dyDescent="0.25">
      <c r="E162" t="str">
        <f t="shared" si="5"/>
        <v/>
      </c>
      <c r="F162" s="13" t="str">
        <f t="shared" si="4"/>
        <v/>
      </c>
    </row>
    <row r="163" spans="5:6" x14ac:dyDescent="0.25">
      <c r="E163" t="str">
        <f t="shared" si="5"/>
        <v/>
      </c>
      <c r="F163" s="13" t="str">
        <f t="shared" si="4"/>
        <v/>
      </c>
    </row>
    <row r="164" spans="5:6" x14ac:dyDescent="0.25">
      <c r="E164" t="str">
        <f t="shared" si="5"/>
        <v/>
      </c>
      <c r="F164" s="13" t="str">
        <f t="shared" si="4"/>
        <v/>
      </c>
    </row>
    <row r="165" spans="5:6" x14ac:dyDescent="0.25">
      <c r="E165" t="str">
        <f t="shared" si="5"/>
        <v/>
      </c>
      <c r="F165" s="13" t="str">
        <f t="shared" si="4"/>
        <v/>
      </c>
    </row>
    <row r="166" spans="5:6" x14ac:dyDescent="0.25">
      <c r="E166" t="str">
        <f t="shared" si="5"/>
        <v/>
      </c>
      <c r="F166" s="13" t="str">
        <f t="shared" si="4"/>
        <v/>
      </c>
    </row>
    <row r="167" spans="5:6" x14ac:dyDescent="0.25">
      <c r="E167" t="str">
        <f t="shared" si="5"/>
        <v/>
      </c>
      <c r="F167" s="13" t="str">
        <f t="shared" si="4"/>
        <v/>
      </c>
    </row>
    <row r="168" spans="5:6" x14ac:dyDescent="0.25">
      <c r="E168" t="str">
        <f t="shared" si="5"/>
        <v/>
      </c>
      <c r="F168" s="13" t="str">
        <f t="shared" si="4"/>
        <v/>
      </c>
    </row>
    <row r="169" spans="5:6" x14ac:dyDescent="0.25">
      <c r="E169" t="str">
        <f t="shared" si="5"/>
        <v/>
      </c>
      <c r="F169" s="13" t="str">
        <f t="shared" si="4"/>
        <v/>
      </c>
    </row>
    <row r="170" spans="5:6" x14ac:dyDescent="0.25">
      <c r="E170" t="str">
        <f t="shared" si="5"/>
        <v/>
      </c>
      <c r="F170" s="13" t="str">
        <f t="shared" si="4"/>
        <v/>
      </c>
    </row>
    <row r="171" spans="5:6" x14ac:dyDescent="0.25">
      <c r="E171" t="str">
        <f t="shared" si="5"/>
        <v/>
      </c>
      <c r="F171" s="13" t="str">
        <f t="shared" si="4"/>
        <v/>
      </c>
    </row>
    <row r="172" spans="5:6" x14ac:dyDescent="0.25">
      <c r="E172" t="str">
        <f t="shared" si="5"/>
        <v/>
      </c>
      <c r="F172" s="13" t="str">
        <f t="shared" si="4"/>
        <v/>
      </c>
    </row>
    <row r="173" spans="5:6" x14ac:dyDescent="0.25">
      <c r="E173" t="str">
        <f t="shared" si="5"/>
        <v/>
      </c>
      <c r="F173" s="13" t="str">
        <f t="shared" si="4"/>
        <v/>
      </c>
    </row>
    <row r="174" spans="5:6" x14ac:dyDescent="0.25">
      <c r="E174" t="str">
        <f t="shared" si="5"/>
        <v/>
      </c>
      <c r="F174" s="13" t="str">
        <f t="shared" si="4"/>
        <v/>
      </c>
    </row>
    <row r="175" spans="5:6" x14ac:dyDescent="0.25">
      <c r="E175" t="str">
        <f t="shared" si="5"/>
        <v/>
      </c>
      <c r="F175" s="13" t="str">
        <f t="shared" si="4"/>
        <v/>
      </c>
    </row>
    <row r="176" spans="5:6" x14ac:dyDescent="0.25">
      <c r="E176" t="str">
        <f t="shared" si="5"/>
        <v/>
      </c>
      <c r="F176" s="13" t="str">
        <f t="shared" si="4"/>
        <v/>
      </c>
    </row>
    <row r="177" spans="5:6" x14ac:dyDescent="0.25">
      <c r="E177" t="str">
        <f t="shared" si="5"/>
        <v/>
      </c>
      <c r="F177" s="13" t="str">
        <f t="shared" si="4"/>
        <v/>
      </c>
    </row>
    <row r="178" spans="5:6" x14ac:dyDescent="0.25">
      <c r="E178" t="str">
        <f t="shared" si="5"/>
        <v/>
      </c>
      <c r="F178" s="13" t="str">
        <f t="shared" si="4"/>
        <v/>
      </c>
    </row>
    <row r="179" spans="5:6" x14ac:dyDescent="0.25">
      <c r="E179" t="str">
        <f t="shared" si="5"/>
        <v/>
      </c>
      <c r="F179" s="13" t="str">
        <f t="shared" si="4"/>
        <v/>
      </c>
    </row>
    <row r="180" spans="5:6" x14ac:dyDescent="0.25">
      <c r="E180" t="str">
        <f t="shared" si="5"/>
        <v/>
      </c>
      <c r="F180" s="13" t="str">
        <f t="shared" si="4"/>
        <v/>
      </c>
    </row>
    <row r="181" spans="5:6" x14ac:dyDescent="0.25">
      <c r="E181" t="str">
        <f t="shared" si="5"/>
        <v/>
      </c>
      <c r="F181" s="13" t="str">
        <f t="shared" si="4"/>
        <v/>
      </c>
    </row>
    <row r="182" spans="5:6" x14ac:dyDescent="0.25">
      <c r="E182" t="str">
        <f t="shared" si="5"/>
        <v/>
      </c>
      <c r="F182" s="13" t="str">
        <f t="shared" si="4"/>
        <v/>
      </c>
    </row>
    <row r="183" spans="5:6" x14ac:dyDescent="0.25">
      <c r="E183" t="str">
        <f t="shared" si="5"/>
        <v/>
      </c>
      <c r="F183" s="13" t="str">
        <f t="shared" si="4"/>
        <v/>
      </c>
    </row>
    <row r="184" spans="5:6" x14ac:dyDescent="0.25">
      <c r="E184" t="str">
        <f t="shared" si="5"/>
        <v/>
      </c>
      <c r="F184" s="13" t="str">
        <f t="shared" si="4"/>
        <v/>
      </c>
    </row>
    <row r="185" spans="5:6" x14ac:dyDescent="0.25">
      <c r="E185" t="str">
        <f t="shared" si="5"/>
        <v/>
      </c>
      <c r="F185" s="13" t="str">
        <f t="shared" si="4"/>
        <v/>
      </c>
    </row>
    <row r="186" spans="5:6" x14ac:dyDescent="0.25">
      <c r="E186" t="str">
        <f t="shared" si="5"/>
        <v/>
      </c>
      <c r="F186" s="13" t="str">
        <f t="shared" si="4"/>
        <v/>
      </c>
    </row>
    <row r="187" spans="5:6" x14ac:dyDescent="0.25">
      <c r="E187" t="str">
        <f t="shared" si="5"/>
        <v/>
      </c>
      <c r="F187" s="13" t="str">
        <f t="shared" si="4"/>
        <v/>
      </c>
    </row>
    <row r="188" spans="5:6" x14ac:dyDescent="0.25">
      <c r="E188" t="str">
        <f t="shared" si="5"/>
        <v/>
      </c>
      <c r="F188" s="13" t="str">
        <f t="shared" si="4"/>
        <v/>
      </c>
    </row>
    <row r="189" spans="5:6" x14ac:dyDescent="0.25">
      <c r="E189" t="str">
        <f t="shared" si="5"/>
        <v/>
      </c>
      <c r="F189" s="13" t="str">
        <f t="shared" si="4"/>
        <v/>
      </c>
    </row>
    <row r="190" spans="5:6" x14ac:dyDescent="0.25">
      <c r="E190" t="str">
        <f t="shared" si="5"/>
        <v/>
      </c>
      <c r="F190" s="13" t="str">
        <f t="shared" si="4"/>
        <v/>
      </c>
    </row>
    <row r="191" spans="5:6" x14ac:dyDescent="0.25">
      <c r="E191" t="str">
        <f t="shared" si="5"/>
        <v/>
      </c>
      <c r="F191" s="13" t="str">
        <f t="shared" si="4"/>
        <v/>
      </c>
    </row>
    <row r="192" spans="5:6" x14ac:dyDescent="0.25">
      <c r="E192" t="str">
        <f t="shared" si="5"/>
        <v/>
      </c>
      <c r="F192" s="13" t="str">
        <f t="shared" si="4"/>
        <v/>
      </c>
    </row>
    <row r="193" spans="5:6" x14ac:dyDescent="0.25">
      <c r="E193" t="str">
        <f t="shared" si="5"/>
        <v/>
      </c>
      <c r="F193" s="13" t="str">
        <f t="shared" si="4"/>
        <v/>
      </c>
    </row>
    <row r="194" spans="5:6" x14ac:dyDescent="0.25">
      <c r="E194" t="str">
        <f t="shared" si="5"/>
        <v/>
      </c>
      <c r="F194" s="13" t="str">
        <f t="shared" si="4"/>
        <v/>
      </c>
    </row>
    <row r="195" spans="5:6" x14ac:dyDescent="0.25">
      <c r="E195" t="str">
        <f t="shared" si="5"/>
        <v/>
      </c>
      <c r="F195" s="13" t="str">
        <f t="shared" si="4"/>
        <v/>
      </c>
    </row>
    <row r="196" spans="5:6" x14ac:dyDescent="0.25">
      <c r="E196" t="str">
        <f t="shared" si="5"/>
        <v/>
      </c>
      <c r="F196" s="13" t="str">
        <f t="shared" ref="F196:F259" si="6">IFERROR(GETPIVOTDATA("Sum of President Budget $ Change", $A196, "Grant Name", A196), "")</f>
        <v/>
      </c>
    </row>
    <row r="197" spans="5:6" x14ac:dyDescent="0.25">
      <c r="E197" t="str">
        <f t="shared" ref="E197:E260" si="7">IFERROR(INDEX(A197:A201, MATCH(F197, B197:B201, 0)), "")</f>
        <v/>
      </c>
      <c r="F197" s="13" t="str">
        <f t="shared" si="6"/>
        <v/>
      </c>
    </row>
    <row r="198" spans="5:6" x14ac:dyDescent="0.25">
      <c r="E198" t="str">
        <f t="shared" si="7"/>
        <v/>
      </c>
      <c r="F198" s="13" t="str">
        <f t="shared" si="6"/>
        <v/>
      </c>
    </row>
    <row r="199" spans="5:6" x14ac:dyDescent="0.25">
      <c r="E199" t="str">
        <f t="shared" si="7"/>
        <v/>
      </c>
      <c r="F199" s="13" t="str">
        <f t="shared" si="6"/>
        <v/>
      </c>
    </row>
    <row r="200" spans="5:6" x14ac:dyDescent="0.25">
      <c r="E200" t="str">
        <f t="shared" si="7"/>
        <v/>
      </c>
      <c r="F200" s="13" t="str">
        <f t="shared" si="6"/>
        <v/>
      </c>
    </row>
    <row r="201" spans="5:6" x14ac:dyDescent="0.25">
      <c r="E201" t="str">
        <f t="shared" si="7"/>
        <v/>
      </c>
      <c r="F201" s="13" t="str">
        <f t="shared" si="6"/>
        <v/>
      </c>
    </row>
    <row r="202" spans="5:6" x14ac:dyDescent="0.25">
      <c r="E202" t="str">
        <f t="shared" si="7"/>
        <v/>
      </c>
      <c r="F202" s="13" t="str">
        <f t="shared" si="6"/>
        <v/>
      </c>
    </row>
    <row r="203" spans="5:6" x14ac:dyDescent="0.25">
      <c r="E203" t="str">
        <f t="shared" si="7"/>
        <v/>
      </c>
      <c r="F203" s="13" t="str">
        <f t="shared" si="6"/>
        <v/>
      </c>
    </row>
    <row r="204" spans="5:6" x14ac:dyDescent="0.25">
      <c r="E204" t="str">
        <f t="shared" si="7"/>
        <v/>
      </c>
      <c r="F204" s="13" t="str">
        <f t="shared" si="6"/>
        <v/>
      </c>
    </row>
    <row r="205" spans="5:6" x14ac:dyDescent="0.25">
      <c r="E205" t="str">
        <f t="shared" si="7"/>
        <v/>
      </c>
      <c r="F205" s="13" t="str">
        <f t="shared" si="6"/>
        <v/>
      </c>
    </row>
    <row r="206" spans="5:6" x14ac:dyDescent="0.25">
      <c r="E206" t="str">
        <f t="shared" si="7"/>
        <v/>
      </c>
      <c r="F206" s="13" t="str">
        <f t="shared" si="6"/>
        <v/>
      </c>
    </row>
    <row r="207" spans="5:6" x14ac:dyDescent="0.25">
      <c r="E207" t="str">
        <f t="shared" si="7"/>
        <v/>
      </c>
      <c r="F207" s="13" t="str">
        <f t="shared" si="6"/>
        <v/>
      </c>
    </row>
    <row r="208" spans="5:6" x14ac:dyDescent="0.25">
      <c r="E208" t="str">
        <f t="shared" si="7"/>
        <v/>
      </c>
      <c r="F208" s="13" t="str">
        <f t="shared" si="6"/>
        <v/>
      </c>
    </row>
    <row r="209" spans="5:6" x14ac:dyDescent="0.25">
      <c r="E209" t="str">
        <f t="shared" si="7"/>
        <v/>
      </c>
      <c r="F209" s="13" t="str">
        <f t="shared" si="6"/>
        <v/>
      </c>
    </row>
    <row r="210" spans="5:6" x14ac:dyDescent="0.25">
      <c r="E210" t="str">
        <f t="shared" si="7"/>
        <v/>
      </c>
      <c r="F210" s="13" t="str">
        <f t="shared" si="6"/>
        <v/>
      </c>
    </row>
    <row r="211" spans="5:6" x14ac:dyDescent="0.25">
      <c r="E211" t="str">
        <f t="shared" si="7"/>
        <v/>
      </c>
      <c r="F211" s="13" t="str">
        <f t="shared" si="6"/>
        <v/>
      </c>
    </row>
    <row r="212" spans="5:6" x14ac:dyDescent="0.25">
      <c r="E212" t="str">
        <f t="shared" si="7"/>
        <v/>
      </c>
      <c r="F212" s="13" t="str">
        <f t="shared" si="6"/>
        <v/>
      </c>
    </row>
    <row r="213" spans="5:6" x14ac:dyDescent="0.25">
      <c r="E213" t="str">
        <f t="shared" si="7"/>
        <v/>
      </c>
      <c r="F213" s="13" t="str">
        <f t="shared" si="6"/>
        <v/>
      </c>
    </row>
    <row r="214" spans="5:6" x14ac:dyDescent="0.25">
      <c r="E214" t="str">
        <f t="shared" si="7"/>
        <v/>
      </c>
      <c r="F214" s="13" t="str">
        <f t="shared" si="6"/>
        <v/>
      </c>
    </row>
    <row r="215" spans="5:6" x14ac:dyDescent="0.25">
      <c r="E215" t="str">
        <f t="shared" si="7"/>
        <v/>
      </c>
      <c r="F215" s="13" t="str">
        <f t="shared" si="6"/>
        <v/>
      </c>
    </row>
    <row r="216" spans="5:6" x14ac:dyDescent="0.25">
      <c r="E216" t="str">
        <f t="shared" si="7"/>
        <v/>
      </c>
      <c r="F216" s="13" t="str">
        <f t="shared" si="6"/>
        <v/>
      </c>
    </row>
    <row r="217" spans="5:6" x14ac:dyDescent="0.25">
      <c r="E217" t="str">
        <f t="shared" si="7"/>
        <v/>
      </c>
      <c r="F217" s="13" t="str">
        <f t="shared" si="6"/>
        <v/>
      </c>
    </row>
    <row r="218" spans="5:6" x14ac:dyDescent="0.25">
      <c r="E218" t="str">
        <f t="shared" si="7"/>
        <v/>
      </c>
      <c r="F218" s="13" t="str">
        <f t="shared" si="6"/>
        <v/>
      </c>
    </row>
    <row r="219" spans="5:6" x14ac:dyDescent="0.25">
      <c r="E219" t="str">
        <f t="shared" si="7"/>
        <v/>
      </c>
      <c r="F219" s="13" t="str">
        <f t="shared" si="6"/>
        <v/>
      </c>
    </row>
    <row r="220" spans="5:6" x14ac:dyDescent="0.25">
      <c r="E220" t="str">
        <f t="shared" si="7"/>
        <v/>
      </c>
      <c r="F220" s="13" t="str">
        <f t="shared" si="6"/>
        <v/>
      </c>
    </row>
    <row r="221" spans="5:6" x14ac:dyDescent="0.25">
      <c r="E221" t="str">
        <f t="shared" si="7"/>
        <v/>
      </c>
      <c r="F221" s="13" t="str">
        <f t="shared" si="6"/>
        <v/>
      </c>
    </row>
    <row r="222" spans="5:6" x14ac:dyDescent="0.25">
      <c r="E222" t="str">
        <f t="shared" si="7"/>
        <v/>
      </c>
      <c r="F222" s="13" t="str">
        <f t="shared" si="6"/>
        <v/>
      </c>
    </row>
    <row r="223" spans="5:6" x14ac:dyDescent="0.25">
      <c r="E223" t="str">
        <f t="shared" si="7"/>
        <v/>
      </c>
      <c r="F223" s="13" t="str">
        <f t="shared" si="6"/>
        <v/>
      </c>
    </row>
    <row r="224" spans="5:6" x14ac:dyDescent="0.25">
      <c r="E224" t="str">
        <f t="shared" si="7"/>
        <v/>
      </c>
      <c r="F224" s="13" t="str">
        <f t="shared" si="6"/>
        <v/>
      </c>
    </row>
    <row r="225" spans="5:6" x14ac:dyDescent="0.25">
      <c r="E225" t="str">
        <f t="shared" si="7"/>
        <v/>
      </c>
      <c r="F225" s="13" t="str">
        <f t="shared" si="6"/>
        <v/>
      </c>
    </row>
    <row r="226" spans="5:6" x14ac:dyDescent="0.25">
      <c r="E226" t="str">
        <f t="shared" si="7"/>
        <v/>
      </c>
      <c r="F226" s="13" t="str">
        <f t="shared" si="6"/>
        <v/>
      </c>
    </row>
    <row r="227" spans="5:6" x14ac:dyDescent="0.25">
      <c r="E227" t="str">
        <f t="shared" si="7"/>
        <v/>
      </c>
      <c r="F227" s="13" t="str">
        <f t="shared" si="6"/>
        <v/>
      </c>
    </row>
    <row r="228" spans="5:6" x14ac:dyDescent="0.25">
      <c r="E228" t="str">
        <f t="shared" si="7"/>
        <v/>
      </c>
      <c r="F228" s="13" t="str">
        <f t="shared" si="6"/>
        <v/>
      </c>
    </row>
    <row r="229" spans="5:6" x14ac:dyDescent="0.25">
      <c r="E229" t="str">
        <f t="shared" si="7"/>
        <v/>
      </c>
      <c r="F229" s="13" t="str">
        <f t="shared" si="6"/>
        <v/>
      </c>
    </row>
    <row r="230" spans="5:6" x14ac:dyDescent="0.25">
      <c r="E230" t="str">
        <f t="shared" si="7"/>
        <v/>
      </c>
      <c r="F230" s="13" t="str">
        <f t="shared" si="6"/>
        <v/>
      </c>
    </row>
    <row r="231" spans="5:6" x14ac:dyDescent="0.25">
      <c r="E231" t="str">
        <f t="shared" si="7"/>
        <v/>
      </c>
      <c r="F231" s="13" t="str">
        <f t="shared" si="6"/>
        <v/>
      </c>
    </row>
    <row r="232" spans="5:6" x14ac:dyDescent="0.25">
      <c r="E232" t="str">
        <f t="shared" si="7"/>
        <v/>
      </c>
      <c r="F232" s="13" t="str">
        <f t="shared" si="6"/>
        <v/>
      </c>
    </row>
    <row r="233" spans="5:6" x14ac:dyDescent="0.25">
      <c r="E233" t="str">
        <f t="shared" si="7"/>
        <v/>
      </c>
      <c r="F233" s="13" t="str">
        <f t="shared" si="6"/>
        <v/>
      </c>
    </row>
    <row r="234" spans="5:6" x14ac:dyDescent="0.25">
      <c r="E234" t="str">
        <f t="shared" si="7"/>
        <v/>
      </c>
      <c r="F234" s="13" t="str">
        <f t="shared" si="6"/>
        <v/>
      </c>
    </row>
    <row r="235" spans="5:6" x14ac:dyDescent="0.25">
      <c r="E235" t="str">
        <f t="shared" si="7"/>
        <v/>
      </c>
      <c r="F235" s="13" t="str">
        <f t="shared" si="6"/>
        <v/>
      </c>
    </row>
    <row r="236" spans="5:6" x14ac:dyDescent="0.25">
      <c r="E236" t="str">
        <f t="shared" si="7"/>
        <v/>
      </c>
      <c r="F236" s="13" t="str">
        <f t="shared" si="6"/>
        <v/>
      </c>
    </row>
    <row r="237" spans="5:6" x14ac:dyDescent="0.25">
      <c r="E237" t="str">
        <f t="shared" si="7"/>
        <v/>
      </c>
      <c r="F237" s="13" t="str">
        <f t="shared" si="6"/>
        <v/>
      </c>
    </row>
    <row r="238" spans="5:6" x14ac:dyDescent="0.25">
      <c r="E238" t="str">
        <f t="shared" si="7"/>
        <v/>
      </c>
      <c r="F238" s="13" t="str">
        <f t="shared" si="6"/>
        <v/>
      </c>
    </row>
    <row r="239" spans="5:6" x14ac:dyDescent="0.25">
      <c r="E239" t="str">
        <f t="shared" si="7"/>
        <v/>
      </c>
      <c r="F239" s="13" t="str">
        <f t="shared" si="6"/>
        <v/>
      </c>
    </row>
    <row r="240" spans="5:6" x14ac:dyDescent="0.25">
      <c r="E240" t="str">
        <f t="shared" si="7"/>
        <v/>
      </c>
      <c r="F240" s="13" t="str">
        <f t="shared" si="6"/>
        <v/>
      </c>
    </row>
    <row r="241" spans="5:6" x14ac:dyDescent="0.25">
      <c r="E241" t="str">
        <f t="shared" si="7"/>
        <v/>
      </c>
      <c r="F241" s="13" t="str">
        <f t="shared" si="6"/>
        <v/>
      </c>
    </row>
    <row r="242" spans="5:6" x14ac:dyDescent="0.25">
      <c r="E242" t="str">
        <f t="shared" si="7"/>
        <v/>
      </c>
      <c r="F242" s="13" t="str">
        <f t="shared" si="6"/>
        <v/>
      </c>
    </row>
    <row r="243" spans="5:6" x14ac:dyDescent="0.25">
      <c r="E243" t="str">
        <f t="shared" si="7"/>
        <v/>
      </c>
      <c r="F243" s="13" t="str">
        <f t="shared" si="6"/>
        <v/>
      </c>
    </row>
    <row r="244" spans="5:6" x14ac:dyDescent="0.25">
      <c r="E244" t="str">
        <f t="shared" si="7"/>
        <v/>
      </c>
      <c r="F244" s="13" t="str">
        <f t="shared" si="6"/>
        <v/>
      </c>
    </row>
    <row r="245" spans="5:6" x14ac:dyDescent="0.25">
      <c r="E245" t="str">
        <f t="shared" si="7"/>
        <v/>
      </c>
      <c r="F245" s="13" t="str">
        <f t="shared" si="6"/>
        <v/>
      </c>
    </row>
    <row r="246" spans="5:6" x14ac:dyDescent="0.25">
      <c r="E246" t="str">
        <f t="shared" si="7"/>
        <v/>
      </c>
      <c r="F246" s="13" t="str">
        <f t="shared" si="6"/>
        <v/>
      </c>
    </row>
    <row r="247" spans="5:6" x14ac:dyDescent="0.25">
      <c r="E247" t="str">
        <f t="shared" si="7"/>
        <v/>
      </c>
      <c r="F247" s="13" t="str">
        <f t="shared" si="6"/>
        <v/>
      </c>
    </row>
    <row r="248" spans="5:6" x14ac:dyDescent="0.25">
      <c r="E248" t="str">
        <f t="shared" si="7"/>
        <v/>
      </c>
      <c r="F248" s="13" t="str">
        <f t="shared" si="6"/>
        <v/>
      </c>
    </row>
    <row r="249" spans="5:6" x14ac:dyDescent="0.25">
      <c r="E249" t="str">
        <f t="shared" si="7"/>
        <v/>
      </c>
      <c r="F249" s="13" t="str">
        <f t="shared" si="6"/>
        <v/>
      </c>
    </row>
    <row r="250" spans="5:6" x14ac:dyDescent="0.25">
      <c r="E250" t="str">
        <f t="shared" si="7"/>
        <v/>
      </c>
      <c r="F250" s="13" t="str">
        <f t="shared" si="6"/>
        <v/>
      </c>
    </row>
    <row r="251" spans="5:6" x14ac:dyDescent="0.25">
      <c r="E251" t="str">
        <f t="shared" si="7"/>
        <v/>
      </c>
      <c r="F251" s="13" t="str">
        <f t="shared" si="6"/>
        <v/>
      </c>
    </row>
    <row r="252" spans="5:6" x14ac:dyDescent="0.25">
      <c r="E252" t="str">
        <f t="shared" si="7"/>
        <v/>
      </c>
      <c r="F252" s="13" t="str">
        <f t="shared" si="6"/>
        <v/>
      </c>
    </row>
    <row r="253" spans="5:6" x14ac:dyDescent="0.25">
      <c r="E253" t="str">
        <f t="shared" si="7"/>
        <v/>
      </c>
      <c r="F253" s="13" t="str">
        <f t="shared" si="6"/>
        <v/>
      </c>
    </row>
    <row r="254" spans="5:6" x14ac:dyDescent="0.25">
      <c r="E254" t="str">
        <f t="shared" si="7"/>
        <v/>
      </c>
      <c r="F254" s="13" t="str">
        <f t="shared" si="6"/>
        <v/>
      </c>
    </row>
    <row r="255" spans="5:6" x14ac:dyDescent="0.25">
      <c r="E255" t="str">
        <f t="shared" si="7"/>
        <v/>
      </c>
      <c r="F255" s="13" t="str">
        <f t="shared" si="6"/>
        <v/>
      </c>
    </row>
    <row r="256" spans="5:6" x14ac:dyDescent="0.25">
      <c r="E256" t="str">
        <f t="shared" si="7"/>
        <v/>
      </c>
      <c r="F256" s="13" t="str">
        <f t="shared" si="6"/>
        <v/>
      </c>
    </row>
    <row r="257" spans="5:6" x14ac:dyDescent="0.25">
      <c r="E257" t="str">
        <f t="shared" si="7"/>
        <v/>
      </c>
      <c r="F257" s="13" t="str">
        <f t="shared" si="6"/>
        <v/>
      </c>
    </row>
    <row r="258" spans="5:6" x14ac:dyDescent="0.25">
      <c r="E258" t="str">
        <f t="shared" si="7"/>
        <v/>
      </c>
      <c r="F258" s="13" t="str">
        <f t="shared" si="6"/>
        <v/>
      </c>
    </row>
    <row r="259" spans="5:6" x14ac:dyDescent="0.25">
      <c r="E259" t="str">
        <f t="shared" si="7"/>
        <v/>
      </c>
      <c r="F259" s="13" t="str">
        <f t="shared" si="6"/>
        <v/>
      </c>
    </row>
    <row r="260" spans="5:6" x14ac:dyDescent="0.25">
      <c r="E260" t="str">
        <f t="shared" si="7"/>
        <v/>
      </c>
      <c r="F260" s="13" t="str">
        <f t="shared" ref="F260:F265" si="8">IFERROR(GETPIVOTDATA("Sum of President Budget $ Change", $A260, "Grant Name", A260), "")</f>
        <v/>
      </c>
    </row>
    <row r="261" spans="5:6" x14ac:dyDescent="0.25">
      <c r="E261" t="str">
        <f t="shared" ref="E261:E265" si="9">IFERROR(INDEX(A261:A265, MATCH(F261, B261:B265, 0)), "")</f>
        <v/>
      </c>
      <c r="F261" s="13" t="str">
        <f t="shared" si="8"/>
        <v/>
      </c>
    </row>
    <row r="262" spans="5:6" x14ac:dyDescent="0.25">
      <c r="E262" t="str">
        <f t="shared" si="9"/>
        <v/>
      </c>
      <c r="F262" s="13" t="str">
        <f t="shared" si="8"/>
        <v/>
      </c>
    </row>
    <row r="263" spans="5:6" x14ac:dyDescent="0.25">
      <c r="E263" t="str">
        <f t="shared" si="9"/>
        <v/>
      </c>
      <c r="F263" s="13" t="str">
        <f t="shared" si="8"/>
        <v/>
      </c>
    </row>
    <row r="264" spans="5:6" x14ac:dyDescent="0.25">
      <c r="E264" t="str">
        <f t="shared" si="9"/>
        <v/>
      </c>
      <c r="F264" s="13" t="str">
        <f t="shared" si="8"/>
        <v/>
      </c>
    </row>
    <row r="265" spans="5:6" x14ac:dyDescent="0.25">
      <c r="E265" t="str">
        <f t="shared" si="9"/>
        <v/>
      </c>
      <c r="F265" s="13" t="str">
        <f t="shared" si="8"/>
        <v/>
      </c>
    </row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60BC-3C66-4AB3-B148-54F4266EB7B9}">
  <sheetPr codeName="Sheet5">
    <tabColor theme="9" tint="0.59999389629810485"/>
  </sheetPr>
  <dimension ref="B1:I262"/>
  <sheetViews>
    <sheetView showGridLines="0" zoomScale="55" zoomScaleNormal="55" workbookViewId="0">
      <selection activeCell="H57" sqref="H57"/>
    </sheetView>
  </sheetViews>
  <sheetFormatPr defaultRowHeight="15" x14ac:dyDescent="0.25"/>
  <cols>
    <col min="1" max="1" width="9.140625" style="56"/>
    <col min="2" max="2" width="15.85546875" style="56" bestFit="1" customWidth="1"/>
    <col min="3" max="3" width="52.28515625" style="56" customWidth="1"/>
    <col min="4" max="4" width="17.28515625" style="56" bestFit="1" customWidth="1"/>
    <col min="5" max="5" width="47.140625" style="56" bestFit="1" customWidth="1"/>
    <col min="6" max="6" width="60.42578125" style="56" customWidth="1"/>
    <col min="7" max="7" width="25.28515625" style="56" bestFit="1" customWidth="1"/>
    <col min="8" max="8" width="47.7109375" style="56" customWidth="1"/>
    <col min="9" max="9" width="15.42578125" style="56" bestFit="1" customWidth="1"/>
    <col min="10" max="10" width="33.5703125" style="56" bestFit="1" customWidth="1"/>
    <col min="11" max="16384" width="9.140625" style="56"/>
  </cols>
  <sheetData>
    <row r="1" spans="2:9" x14ac:dyDescent="0.25">
      <c r="I1" s="56" t="s">
        <v>268</v>
      </c>
    </row>
    <row r="2" spans="2:9" ht="21" x14ac:dyDescent="0.4">
      <c r="B2" s="57" t="s">
        <v>7</v>
      </c>
    </row>
    <row r="4" spans="2:9" ht="40.5" customHeight="1" x14ac:dyDescent="0.25">
      <c r="B4" s="78" t="s">
        <v>441</v>
      </c>
      <c r="C4" s="78"/>
      <c r="D4" s="78"/>
      <c r="E4" s="78"/>
      <c r="F4" s="78"/>
      <c r="H4" s="79" t="s">
        <v>442</v>
      </c>
      <c r="I4" s="79"/>
    </row>
    <row r="5" spans="2:9" ht="18.75" thickBot="1" x14ac:dyDescent="0.4">
      <c r="B5" s="63" t="s">
        <v>0</v>
      </c>
      <c r="C5" s="63" t="s">
        <v>1</v>
      </c>
      <c r="D5" s="63" t="s">
        <v>2</v>
      </c>
      <c r="E5" s="63" t="s">
        <v>443</v>
      </c>
      <c r="F5" s="63" t="s">
        <v>436</v>
      </c>
      <c r="G5" s="58"/>
      <c r="H5" s="68" t="s">
        <v>438</v>
      </c>
      <c r="I5" s="69">
        <f>SUBTOTAL(9, Table7[FY 2018 Total])</f>
        <v>5905484</v>
      </c>
    </row>
    <row r="6" spans="2:9" ht="18" x14ac:dyDescent="0.35">
      <c r="B6" s="64">
        <f>IFERROR(INDEX(FPWA_HelperTable[CFDA], MATCH(DesiredOrd_FPWA[Desired Order], FPWA_HelperTable[Final Sort], 0)), "")</f>
        <v>10.558</v>
      </c>
      <c r="C6" s="65" t="str">
        <f>IFERROR(INDEX(FPWA_HelperTable[Grant Name], MATCH(B6, FPWA_HelperTable[CFDA], 0)), "")</f>
        <v>CHILD AND ADULT CARE FOOD PROGRAM</v>
      </c>
      <c r="D6" s="66">
        <f>IFERROR(INDEX(FPWA_HelperTable[FY 2018 Total], MATCH(B6, FPWA_HelperTable[CFDA], 0)), "")</f>
        <v>404804</v>
      </c>
      <c r="E6" s="67">
        <f>IFERROR(INDEX(FPWA_HelperTable[President Budget], MATCH(B6, FPWA_HelperTable[CFDA], 0)), "")</f>
        <v>6.0000000000000001E-3</v>
      </c>
      <c r="F6" s="66">
        <f>IFERROR(INDEX(FPWA_HelperTable[President $ Change], MATCH(B6, FPWA_HelperTable[CFDA], 0)), "")</f>
        <v>2428.8240000000001</v>
      </c>
      <c r="H6" s="70" t="s">
        <v>437</v>
      </c>
      <c r="I6" s="71">
        <f>SUBTOTAL(9, Table7[President Budget $ Change])</f>
        <v>-2470588.5145210242</v>
      </c>
    </row>
    <row r="7" spans="2:9" ht="18" x14ac:dyDescent="0.35">
      <c r="B7" s="64">
        <f>IFERROR(INDEX(FPWA_HelperTable[CFDA], MATCH(DesiredOrd_FPWA[Desired Order], FPWA_HelperTable[Final Sort], 0)), "")</f>
        <v>93.070999999999998</v>
      </c>
      <c r="C7" s="65" t="str">
        <f>IFERROR(INDEX(FPWA_HelperTable[Grant Name], MATCH(B7, FPWA_HelperTable[CFDA], 0)), "")</f>
        <v>MEDICARE ENROLLMENT ASSISTANCE PROGRAM</v>
      </c>
      <c r="D7" s="66">
        <f>IFERROR(INDEX(FPWA_HelperTable[FY 2018 Total], MATCH(B7, FPWA_HelperTable[CFDA], 0)), "")</f>
        <v>9088</v>
      </c>
      <c r="E7" s="67">
        <f>IFERROR(INDEX(FPWA_HelperTable[President Budget], MATCH(B7, FPWA_HelperTable[CFDA], 0)), "")</f>
        <v>6.6000000000000003E-2</v>
      </c>
      <c r="F7" s="66">
        <f>IFERROR(INDEX(FPWA_HelperTable[President $ Change], MATCH(B7, FPWA_HelperTable[CFDA], 0)), "")</f>
        <v>599.80799999999999</v>
      </c>
      <c r="H7" s="72" t="s">
        <v>439</v>
      </c>
      <c r="I7" s="73">
        <f>I6/I5</f>
        <v>-0.4183549586318453</v>
      </c>
    </row>
    <row r="8" spans="2:9" ht="18" x14ac:dyDescent="0.35">
      <c r="B8" s="64">
        <f>IFERROR(INDEX(FPWA_HelperTable[CFDA], MATCH(DesiredOrd_FPWA[Desired Order], FPWA_HelperTable[Final Sort], 0)), "")</f>
        <v>10.561</v>
      </c>
      <c r="C8" s="65" t="str">
        <f>IFERROR(INDEX(FPWA_HelperTable[Grant Name], MATCH(B8, FPWA_HelperTable[CFDA], 0)), "")</f>
        <v>STATE ADM MATCHING GRANTS-NUTRITION ASST. PROGRAM</v>
      </c>
      <c r="D8" s="66">
        <f>IFERROR(INDEX(FPWA_HelperTable[FY 2018 Total], MATCH(B8, FPWA_HelperTable[CFDA], 0)), "")</f>
        <v>113124</v>
      </c>
      <c r="E8" s="67">
        <f>IFERROR(INDEX(FPWA_HelperTable[President Budget], MATCH(B8, FPWA_HelperTable[CFDA], 0)), "")</f>
        <v>0</v>
      </c>
      <c r="F8" s="66">
        <f>IFERROR(INDEX(FPWA_HelperTable[President $ Change], MATCH(B8, FPWA_HelperTable[CFDA], 0)), "")</f>
        <v>0</v>
      </c>
    </row>
    <row r="9" spans="2:9" ht="18" x14ac:dyDescent="0.35">
      <c r="B9" s="64">
        <f>IFERROR(INDEX(FPWA_HelperTable[CFDA], MATCH(DesiredOrd_FPWA[Desired Order], FPWA_HelperTable[Final Sort], 0)), "")</f>
        <v>17.259</v>
      </c>
      <c r="C9" s="65" t="str">
        <f>IFERROR(INDEX(FPWA_HelperTable[Grant Name], MATCH(B9, FPWA_HelperTable[CFDA], 0)), "")</f>
        <v>WIA YOUTH ACTIVITIES</v>
      </c>
      <c r="D9" s="66">
        <f>IFERROR(INDEX(FPWA_HelperTable[FY 2018 Total], MATCH(B9, FPWA_HelperTable[CFDA], 0)), "")</f>
        <v>398295</v>
      </c>
      <c r="E9" s="67">
        <f>IFERROR(INDEX(FPWA_HelperTable[President Budget], MATCH(B9, FPWA_HelperTable[CFDA], 0)), "")</f>
        <v>0</v>
      </c>
      <c r="F9" s="66">
        <f>IFERROR(INDEX(FPWA_HelperTable[President $ Change], MATCH(B9, FPWA_HelperTable[CFDA], 0)), "")</f>
        <v>0</v>
      </c>
    </row>
    <row r="10" spans="2:9" ht="18" x14ac:dyDescent="0.35">
      <c r="B10" s="64">
        <f>IFERROR(INDEX(FPWA_HelperTable[CFDA], MATCH(DesiredOrd_FPWA[Desired Order], FPWA_HelperTable[Final Sort], 0)), "")</f>
        <v>93.575000000000003</v>
      </c>
      <c r="C10" s="65" t="str">
        <f>IFERROR(INDEX(FPWA_HelperTable[Grant Name], MATCH(B10, FPWA_HelperTable[CFDA], 0)), "")</f>
        <v>CHILD CARE AND DEVELOPMENT BLOCK GRANT</v>
      </c>
      <c r="D10" s="66">
        <f>IFERROR(INDEX(FPWA_HelperTable[FY 2018 Total], MATCH(B10, FPWA_HelperTable[CFDA], 0)), "")</f>
        <v>1749313</v>
      </c>
      <c r="E10" s="67">
        <f>IFERROR(INDEX(FPWA_HelperTable[President Budget], MATCH(B10, FPWA_HelperTable[CFDA], 0)), "")</f>
        <v>0</v>
      </c>
      <c r="F10" s="66">
        <f>IFERROR(INDEX(FPWA_HelperTable[President $ Change], MATCH(B10, FPWA_HelperTable[CFDA], 0)), "")</f>
        <v>0</v>
      </c>
    </row>
    <row r="11" spans="2:9" ht="18" x14ac:dyDescent="0.35">
      <c r="B11" s="64">
        <f>IFERROR(INDEX(FPWA_HelperTable[CFDA], MATCH(DesiredOrd_FPWA[Desired Order], FPWA_HelperTable[Final Sort], 0)), "")</f>
        <v>93.052999999999997</v>
      </c>
      <c r="C11" s="65" t="str">
        <f>IFERROR(INDEX(FPWA_HelperTable[Grant Name], MATCH(B11, FPWA_HelperTable[CFDA], 0)), "")</f>
        <v>NUTRITION SERVICES INCENTIVE PROGRAM</v>
      </c>
      <c r="D11" s="66">
        <f>IFERROR(INDEX(FPWA_HelperTable[FY 2018 Total], MATCH(B11, FPWA_HelperTable[CFDA], 0)), "")</f>
        <v>151965</v>
      </c>
      <c r="E11" s="67">
        <f>IFERROR(INDEX(FPWA_HelperTable[President Budget], MATCH(B11, FPWA_HelperTable[CFDA], 0)), "")</f>
        <v>-6.2473058493524672E-6</v>
      </c>
      <c r="F11" s="66">
        <f>IFERROR(INDEX(FPWA_HelperTable[President $ Change], MATCH(B11, FPWA_HelperTable[CFDA], 0)), "")</f>
        <v>-0.94937183339684772</v>
      </c>
    </row>
    <row r="12" spans="2:9" ht="18" x14ac:dyDescent="0.35">
      <c r="B12" s="64">
        <f>IFERROR(INDEX(FPWA_HelperTable[CFDA], MATCH(DesiredOrd_FPWA[Desired Order], FPWA_HelperTable[Final Sort], 0)), "")</f>
        <v>93.563000000000002</v>
      </c>
      <c r="C12" s="65" t="str">
        <f>IFERROR(INDEX(FPWA_HelperTable[Grant Name], MATCH(B12, FPWA_HelperTable[CFDA], 0)), "")</f>
        <v>CHILD SUPPORT ENFORCEMENT</v>
      </c>
      <c r="D12" s="66">
        <f>IFERROR(INDEX(FPWA_HelperTable[FY 2018 Total], MATCH(B12, FPWA_HelperTable[CFDA], 0)), "")</f>
        <v>34882</v>
      </c>
      <c r="E12" s="67">
        <f>IFERROR(INDEX(FPWA_HelperTable[President Budget], MATCH(B12, FPWA_HelperTable[CFDA], 0)), "")</f>
        <v>-3.1035247173575703E-3</v>
      </c>
      <c r="F12" s="66">
        <f>IFERROR(INDEX(FPWA_HelperTable[President $ Change], MATCH(B12, FPWA_HelperTable[CFDA], 0)), "")</f>
        <v>-108.25714919086677</v>
      </c>
    </row>
    <row r="13" spans="2:9" ht="18" x14ac:dyDescent="0.35">
      <c r="B13" s="64">
        <f>IFERROR(INDEX(FPWA_HelperTable[CFDA], MATCH(DesiredOrd_FPWA[Desired Order], FPWA_HelperTable[Final Sort], 0)), "")</f>
        <v>93.043999999999997</v>
      </c>
      <c r="C13" s="65" t="str">
        <f>IFERROR(INDEX(FPWA_HelperTable[Grant Name], MATCH(B13, FPWA_HelperTable[CFDA], 0)), "")</f>
        <v>SPECIAL PROGRAMS FOR THE AGING-TITLE III PART B</v>
      </c>
      <c r="D13" s="66">
        <f>IFERROR(INDEX(FPWA_HelperTable[FY 2018 Total], MATCH(B13, FPWA_HelperTable[CFDA], 0)), "")</f>
        <v>68567</v>
      </c>
      <c r="E13" s="67">
        <f>IFERROR(INDEX(FPWA_HelperTable[President Budget], MATCH(B13, FPWA_HelperTable[CFDA], 0)), "")</f>
        <v>-2.1999999999999999E-2</v>
      </c>
      <c r="F13" s="66">
        <f>IFERROR(INDEX(FPWA_HelperTable[President $ Change], MATCH(B13, FPWA_HelperTable[CFDA], 0)), "")</f>
        <v>-1508.4739999999999</v>
      </c>
    </row>
    <row r="14" spans="2:9" ht="16.5" x14ac:dyDescent="0.3">
      <c r="B14" s="59">
        <f>IFERROR(INDEX(FPWA_HelperTable[CFDA], MATCH(DesiredOrd_FPWA[Desired Order], FPWA_HelperTable[Final Sort], 0)), "")</f>
        <v>93.045000000000002</v>
      </c>
      <c r="C14" s="60" t="str">
        <f>IFERROR(INDEX(FPWA_HelperTable[Grant Name], MATCH(B14, FPWA_HelperTable[CFDA], 0)), "")</f>
        <v>SPECIAL PROGRAMS FOR THE AGING-TITLE III PART C</v>
      </c>
      <c r="D14" s="61">
        <f>IFERROR(INDEX(FPWA_HelperTable[FY 2018 Total], MATCH(B14, FPWA_HelperTable[CFDA], 0)), "")</f>
        <v>189703</v>
      </c>
      <c r="E14" s="62">
        <f>IFERROR(INDEX(FPWA_HelperTable[President Budget], MATCH(B14, FPWA_HelperTable[CFDA], 0)), "")</f>
        <v>-2.1999999999999999E-2</v>
      </c>
      <c r="F14" s="61">
        <f>IFERROR(INDEX(FPWA_HelperTable[President $ Change], MATCH(B14, FPWA_HelperTable[CFDA], 0)), "")</f>
        <v>-4173.4659999999994</v>
      </c>
    </row>
    <row r="15" spans="2:9" ht="16.5" x14ac:dyDescent="0.3">
      <c r="B15" s="59">
        <f>IFERROR(INDEX(FPWA_HelperTable[CFDA], MATCH(DesiredOrd_FPWA[Desired Order], FPWA_HelperTable[Final Sort], 0)), "")</f>
        <v>93.569000000000003</v>
      </c>
      <c r="C15" s="60" t="str">
        <f>IFERROR(INDEX(FPWA_HelperTable[Grant Name], MATCH(B15, FPWA_HelperTable[CFDA], 0)), "")</f>
        <v>COMMUNITY SERVICES BLOCK GRANT</v>
      </c>
      <c r="D15" s="61">
        <f>IFERROR(INDEX(FPWA_HelperTable[FY 2018 Total], MATCH(B15, FPWA_HelperTable[CFDA], 0)), "")</f>
        <v>260979</v>
      </c>
      <c r="E15" s="62">
        <f>IFERROR(INDEX(FPWA_HelperTable[President Budget], MATCH(B15, FPWA_HelperTable[CFDA], 0)), "")</f>
        <v>-1</v>
      </c>
      <c r="F15" s="61">
        <f>IFERROR(INDEX(FPWA_HelperTable[President $ Change], MATCH(B15, FPWA_HelperTable[CFDA], 0)), "")</f>
        <v>-260979</v>
      </c>
    </row>
    <row r="16" spans="2:9" ht="16.5" x14ac:dyDescent="0.3">
      <c r="B16" s="59">
        <f>IFERROR(INDEX(FPWA_HelperTable[CFDA], MATCH(DesiredOrd_FPWA[Desired Order], FPWA_HelperTable[Final Sort], 0)), "")</f>
        <v>93.667000000000002</v>
      </c>
      <c r="C16" s="60" t="str">
        <f>IFERROR(INDEX(FPWA_HelperTable[Grant Name], MATCH(B16, FPWA_HelperTable[CFDA], 0)), "")</f>
        <v>SOCIAL SERVICES BLOCK GRANT</v>
      </c>
      <c r="D16" s="61">
        <f>IFERROR(INDEX(FPWA_HelperTable[FY 2018 Total], MATCH(B16, FPWA_HelperTable[CFDA], 0)), "")</f>
        <v>369621</v>
      </c>
      <c r="E16" s="62">
        <f>IFERROR(INDEX(FPWA_HelperTable[President Budget], MATCH(B16, FPWA_HelperTable[CFDA], 0)), "")</f>
        <v>-1</v>
      </c>
      <c r="F16" s="61">
        <f>IFERROR(INDEX(FPWA_HelperTable[President $ Change], MATCH(B16, FPWA_HelperTable[CFDA], 0)), "")</f>
        <v>-369621</v>
      </c>
    </row>
    <row r="17" spans="2:6" ht="16.5" x14ac:dyDescent="0.3">
      <c r="B17" s="59">
        <f>IFERROR(INDEX(FPWA_HelperTable[CFDA], MATCH(DesiredOrd_FPWA[Desired Order], FPWA_HelperTable[Final Sort], 0)), "")</f>
        <v>17.234999999999999</v>
      </c>
      <c r="C17" s="60" t="str">
        <f>IFERROR(INDEX(FPWA_HelperTable[Grant Name], MATCH(B17, FPWA_HelperTable[CFDA], 0)), "")</f>
        <v>SENIOR COMMUNITY SERVICE EMPLOYMENT PROGRAM</v>
      </c>
      <c r="D17" s="61">
        <f>IFERROR(INDEX(FPWA_HelperTable[FY 2018 Total], MATCH(B17, FPWA_HelperTable[CFDA], 0)), "")</f>
        <v>1837226</v>
      </c>
      <c r="E17" s="62">
        <f>IFERROR(INDEX(FPWA_HelperTable[President Budget], MATCH(B17, FPWA_HelperTable[CFDA], 0)), "")</f>
        <v>-1</v>
      </c>
      <c r="F17" s="61">
        <f>IFERROR(INDEX(FPWA_HelperTable[President $ Change], MATCH(B17, FPWA_HelperTable[CFDA], 0)), "")</f>
        <v>-1837226</v>
      </c>
    </row>
    <row r="18" spans="2:6" ht="16.5" x14ac:dyDescent="0.3">
      <c r="B18" s="59">
        <f>IFERROR(INDEX(FPWA_HelperTable[CFDA], MATCH(DesiredOrd_FPWA[Desired Order], FPWA_HelperTable[Final Sort], 0)), "")</f>
        <v>93.091999999999999</v>
      </c>
      <c r="C18" s="60" t="str">
        <f>IFERROR(INDEX(FPWA_HelperTable[Grant Name], MATCH(B18, FPWA_HelperTable[CFDA], 0)), "")</f>
        <v>AFFORDABLE CARE ACT</v>
      </c>
      <c r="D18" s="61">
        <f>IFERROR(INDEX(FPWA_HelperTable[FY 2018 Total], MATCH(B18, FPWA_HelperTable[CFDA], 0)), "")</f>
        <v>312348</v>
      </c>
      <c r="E18" s="62" t="str">
        <f>IFERROR(INDEX(FPWA_HelperTable[President Budget], MATCH(B18, FPWA_HelperTable[CFDA], 0)), "")</f>
        <v/>
      </c>
      <c r="F18" s="61" t="str">
        <f>IFERROR(INDEX(FPWA_HelperTable[President $ Change], MATCH(B18, FPWA_HelperTable[CFDA], 0)), "")</f>
        <v/>
      </c>
    </row>
    <row r="19" spans="2:6" ht="16.5" x14ac:dyDescent="0.3">
      <c r="B19" s="59">
        <f>IFERROR(INDEX(FPWA_HelperTable[CFDA], MATCH(DesiredOrd_FPWA[Desired Order], FPWA_HelperTable[Final Sort], 0)), "")</f>
        <v>93.331000000000003</v>
      </c>
      <c r="C19" s="60" t="str">
        <f>IFERROR(INDEX(FPWA_HelperTable[Grant Name], MATCH(B19, FPWA_HelperTable[CFDA], 0)), "")</f>
        <v>PARTNERSHIPS TO IMPROVE COMMUNITY HEALTH</v>
      </c>
      <c r="D19" s="61">
        <f>IFERROR(INDEX(FPWA_HelperTable[FY 2018 Total], MATCH(B19, FPWA_HelperTable[CFDA], 0)), "")</f>
        <v>2099</v>
      </c>
      <c r="E19" s="62" t="str">
        <f>IFERROR(INDEX(FPWA_HelperTable[President Budget], MATCH(B19, FPWA_HelperTable[CFDA], 0)), "")</f>
        <v/>
      </c>
      <c r="F19" s="61" t="str">
        <f>IFERROR(INDEX(FPWA_HelperTable[President $ Change], MATCH(B19, FPWA_HelperTable[CFDA], 0)), "")</f>
        <v/>
      </c>
    </row>
    <row r="20" spans="2:6" ht="16.5" x14ac:dyDescent="0.3">
      <c r="B20" s="59">
        <f>IFERROR(INDEX(FPWA_HelperTable[CFDA], MATCH(DesiredOrd_FPWA[Desired Order], FPWA_HelperTable[Final Sort], 0)), "")</f>
        <v>93.866</v>
      </c>
      <c r="C20" s="60" t="str">
        <f>IFERROR(INDEX(FPWA_HelperTable[Grant Name], MATCH(B20, FPWA_HelperTable[CFDA], 0)), "")</f>
        <v>AGING RESEARCH</v>
      </c>
      <c r="D20" s="61">
        <f>IFERROR(INDEX(FPWA_HelperTable[FY 2018 Total], MATCH(B20, FPWA_HelperTable[CFDA], 0)), "")</f>
        <v>3470</v>
      </c>
      <c r="E20" s="62" t="str">
        <f>IFERROR(INDEX(FPWA_HelperTable[President Budget], MATCH(B20, FPWA_HelperTable[CFDA], 0)), "")</f>
        <v/>
      </c>
      <c r="F20" s="61" t="str">
        <f>IFERROR(INDEX(FPWA_HelperTable[President $ Change], MATCH(B20, FPWA_HelperTable[CFDA], 0)), "")</f>
        <v/>
      </c>
    </row>
    <row r="21" spans="2:6" ht="16.5" x14ac:dyDescent="0.3">
      <c r="B21" s="59" t="str">
        <f>IFERROR(INDEX(FPWA_HelperTable[CFDA], MATCH(DesiredOrd_FPWA[Desired Order], FPWA_HelperTable[Final Sort], 0)), "")</f>
        <v/>
      </c>
      <c r="C21" s="60" t="str">
        <f>IFERROR(INDEX(FPWA_HelperTable[Grant Name], MATCH(B21, FPWA_HelperTable[CFDA], 0)), "")</f>
        <v/>
      </c>
      <c r="D21" s="61" t="str">
        <f>IFERROR(INDEX(FPWA_HelperTable[FY 2018 Total], MATCH(B21, FPWA_HelperTable[CFDA], 0)), "")</f>
        <v/>
      </c>
      <c r="E21" s="62" t="str">
        <f>IFERROR(INDEX(FPWA_HelperTable[President Budget], MATCH(B21, FPWA_HelperTable[CFDA], 0)), "")</f>
        <v/>
      </c>
      <c r="F21" s="61" t="str">
        <f>IFERROR(INDEX(FPWA_HelperTable[President $ Change], MATCH(B21, FPWA_HelperTable[CFDA], 0)), "")</f>
        <v/>
      </c>
    </row>
    <row r="22" spans="2:6" ht="16.5" x14ac:dyDescent="0.3">
      <c r="B22" s="59" t="str">
        <f>IFERROR(INDEX(FPWA_HelperTable[CFDA], MATCH(DesiredOrd_FPWA[Desired Order], FPWA_HelperTable[Final Sort], 0)), "")</f>
        <v/>
      </c>
      <c r="C22" s="60" t="str">
        <f>IFERROR(INDEX(FPWA_HelperTable[Grant Name], MATCH(B22, FPWA_HelperTable[CFDA], 0)), "")</f>
        <v/>
      </c>
      <c r="D22" s="61" t="str">
        <f>IFERROR(INDEX(FPWA_HelperTable[FY 2018 Total], MATCH(B22, FPWA_HelperTable[CFDA], 0)), "")</f>
        <v/>
      </c>
      <c r="E22" s="62" t="str">
        <f>IFERROR(INDEX(FPWA_HelperTable[President Budget], MATCH(B22, FPWA_HelperTable[CFDA], 0)), "")</f>
        <v/>
      </c>
      <c r="F22" s="61" t="str">
        <f>IFERROR(INDEX(FPWA_HelperTable[President $ Change], MATCH(B22, FPWA_HelperTable[CFDA], 0)), "")</f>
        <v/>
      </c>
    </row>
    <row r="23" spans="2:6" ht="16.5" x14ac:dyDescent="0.3">
      <c r="B23" s="59" t="str">
        <f>IFERROR(INDEX(FPWA_HelperTable[CFDA], MATCH(DesiredOrd_FPWA[Desired Order], FPWA_HelperTable[Final Sort], 0)), "")</f>
        <v/>
      </c>
      <c r="C23" s="60" t="str">
        <f>IFERROR(INDEX(FPWA_HelperTable[Grant Name], MATCH(B23, FPWA_HelperTable[CFDA], 0)), "")</f>
        <v/>
      </c>
      <c r="D23" s="61" t="str">
        <f>IFERROR(INDEX(FPWA_HelperTable[FY 2018 Total], MATCH(B23, FPWA_HelperTable[CFDA], 0)), "")</f>
        <v/>
      </c>
      <c r="E23" s="62" t="str">
        <f>IFERROR(INDEX(FPWA_HelperTable[President Budget], MATCH(B23, FPWA_HelperTable[CFDA], 0)), "")</f>
        <v/>
      </c>
      <c r="F23" s="61" t="str">
        <f>IFERROR(INDEX(FPWA_HelperTable[President $ Change], MATCH(B23, FPWA_HelperTable[CFDA], 0)), "")</f>
        <v/>
      </c>
    </row>
    <row r="24" spans="2:6" ht="16.5" x14ac:dyDescent="0.3">
      <c r="B24" s="59" t="str">
        <f>IFERROR(INDEX(FPWA_HelperTable[CFDA], MATCH(DesiredOrd_FPWA[Desired Order], FPWA_HelperTable[Final Sort], 0)), "")</f>
        <v/>
      </c>
      <c r="C24" s="60" t="str">
        <f>IFERROR(INDEX(FPWA_HelperTable[Grant Name], MATCH(B24, FPWA_HelperTable[CFDA], 0)), "")</f>
        <v/>
      </c>
      <c r="D24" s="61" t="str">
        <f>IFERROR(INDEX(FPWA_HelperTable[FY 2018 Total], MATCH(B24, FPWA_HelperTable[CFDA], 0)), "")</f>
        <v/>
      </c>
      <c r="E24" s="62" t="str">
        <f>IFERROR(INDEX(FPWA_HelperTable[President Budget], MATCH(B24, FPWA_HelperTable[CFDA], 0)), "")</f>
        <v/>
      </c>
      <c r="F24" s="61" t="str">
        <f>IFERROR(INDEX(FPWA_HelperTable[President $ Change], MATCH(B24, FPWA_HelperTable[CFDA], 0)), "")</f>
        <v/>
      </c>
    </row>
    <row r="25" spans="2:6" ht="16.5" x14ac:dyDescent="0.3">
      <c r="B25" s="59" t="str">
        <f>IFERROR(INDEX(FPWA_HelperTable[CFDA], MATCH(DesiredOrd_FPWA[Desired Order], FPWA_HelperTable[Final Sort], 0)), "")</f>
        <v/>
      </c>
      <c r="C25" s="60" t="str">
        <f>IFERROR(INDEX(FPWA_HelperTable[Grant Name], MATCH(B25, FPWA_HelperTable[CFDA], 0)), "")</f>
        <v/>
      </c>
      <c r="D25" s="61" t="str">
        <f>IFERROR(INDEX(FPWA_HelperTable[FY 2018 Total], MATCH(B25, FPWA_HelperTable[CFDA], 0)), "")</f>
        <v/>
      </c>
      <c r="E25" s="62" t="str">
        <f>IFERROR(INDEX(FPWA_HelperTable[President Budget], MATCH(B25, FPWA_HelperTable[CFDA], 0)), "")</f>
        <v/>
      </c>
      <c r="F25" s="61" t="str">
        <f>IFERROR(INDEX(FPWA_HelperTable[President $ Change], MATCH(B25, FPWA_HelperTable[CFDA], 0)), "")</f>
        <v/>
      </c>
    </row>
    <row r="26" spans="2:6" ht="16.5" x14ac:dyDescent="0.3">
      <c r="B26" s="59" t="str">
        <f>IFERROR(INDEX(FPWA_HelperTable[CFDA], MATCH(DesiredOrd_FPWA[Desired Order], FPWA_HelperTable[Final Sort], 0)), "")</f>
        <v/>
      </c>
      <c r="C26" s="60" t="str">
        <f>IFERROR(INDEX(FPWA_HelperTable[Grant Name], MATCH(B26, FPWA_HelperTable[CFDA], 0)), "")</f>
        <v/>
      </c>
      <c r="D26" s="61" t="str">
        <f>IFERROR(INDEX(FPWA_HelperTable[FY 2018 Total], MATCH(B26, FPWA_HelperTable[CFDA], 0)), "")</f>
        <v/>
      </c>
      <c r="E26" s="62" t="str">
        <f>IFERROR(INDEX(FPWA_HelperTable[President Budget], MATCH(B26, FPWA_HelperTable[CFDA], 0)), "")</f>
        <v/>
      </c>
      <c r="F26" s="61" t="str">
        <f>IFERROR(INDEX(FPWA_HelperTable[President $ Change], MATCH(B26, FPWA_HelperTable[CFDA], 0)), "")</f>
        <v/>
      </c>
    </row>
    <row r="27" spans="2:6" ht="16.5" x14ac:dyDescent="0.3">
      <c r="B27" s="59" t="str">
        <f>IFERROR(INDEX(FPWA_HelperTable[CFDA], MATCH(DesiredOrd_FPWA[Desired Order], FPWA_HelperTable[Final Sort], 0)), "")</f>
        <v/>
      </c>
      <c r="C27" s="60" t="str">
        <f>IFERROR(INDEX(FPWA_HelperTable[Grant Name], MATCH(B27, FPWA_HelperTable[CFDA], 0)), "")</f>
        <v/>
      </c>
      <c r="D27" s="61" t="str">
        <f>IFERROR(INDEX(FPWA_HelperTable[FY 2018 Total], MATCH(B27, FPWA_HelperTable[CFDA], 0)), "")</f>
        <v/>
      </c>
      <c r="E27" s="62" t="str">
        <f>IFERROR(INDEX(FPWA_HelperTable[President Budget], MATCH(B27, FPWA_HelperTable[CFDA], 0)), "")</f>
        <v/>
      </c>
      <c r="F27" s="61" t="str">
        <f>IFERROR(INDEX(FPWA_HelperTable[President $ Change], MATCH(B27, FPWA_HelperTable[CFDA], 0)), "")</f>
        <v/>
      </c>
    </row>
    <row r="28" spans="2:6" ht="16.5" x14ac:dyDescent="0.3">
      <c r="B28" s="59" t="str">
        <f>IFERROR(INDEX(FPWA_HelperTable[CFDA], MATCH(DesiredOrd_FPWA[Desired Order], FPWA_HelperTable[Final Sort], 0)), "")</f>
        <v/>
      </c>
      <c r="C28" s="60" t="str">
        <f>IFERROR(INDEX(FPWA_HelperTable[Grant Name], MATCH(B28, FPWA_HelperTable[CFDA], 0)), "")</f>
        <v/>
      </c>
      <c r="D28" s="61" t="str">
        <f>IFERROR(INDEX(FPWA_HelperTable[FY 2018 Total], MATCH(B28, FPWA_HelperTable[CFDA], 0)), "")</f>
        <v/>
      </c>
      <c r="E28" s="62" t="str">
        <f>IFERROR(INDEX(FPWA_HelperTable[President Budget], MATCH(B28, FPWA_HelperTable[CFDA], 0)), "")</f>
        <v/>
      </c>
      <c r="F28" s="61" t="str">
        <f>IFERROR(INDEX(FPWA_HelperTable[President $ Change], MATCH(B28, FPWA_HelperTable[CFDA], 0)), "")</f>
        <v/>
      </c>
    </row>
    <row r="29" spans="2:6" ht="16.5" x14ac:dyDescent="0.3">
      <c r="B29" s="59" t="str">
        <f>IFERROR(INDEX(FPWA_HelperTable[CFDA], MATCH(DesiredOrd_FPWA[Desired Order], FPWA_HelperTable[Final Sort], 0)), "")</f>
        <v/>
      </c>
      <c r="C29" s="60" t="str">
        <f>IFERROR(INDEX(FPWA_HelperTable[Grant Name], MATCH(B29, FPWA_HelperTable[CFDA], 0)), "")</f>
        <v/>
      </c>
      <c r="D29" s="61" t="str">
        <f>IFERROR(INDEX(FPWA_HelperTable[FY 2018 Total], MATCH(B29, FPWA_HelperTable[CFDA], 0)), "")</f>
        <v/>
      </c>
      <c r="E29" s="62" t="str">
        <f>IFERROR(INDEX(FPWA_HelperTable[President Budget], MATCH(B29, FPWA_HelperTable[CFDA], 0)), "")</f>
        <v/>
      </c>
      <c r="F29" s="61" t="str">
        <f>IFERROR(INDEX(FPWA_HelperTable[President $ Change], MATCH(B29, FPWA_HelperTable[CFDA], 0)), "")</f>
        <v/>
      </c>
    </row>
    <row r="30" spans="2:6" ht="16.5" x14ac:dyDescent="0.3">
      <c r="B30" s="59" t="str">
        <f>IFERROR(INDEX(FPWA_HelperTable[CFDA], MATCH(DesiredOrd_FPWA[Desired Order], FPWA_HelperTable[Final Sort], 0)), "")</f>
        <v/>
      </c>
      <c r="C30" s="60" t="str">
        <f>IFERROR(INDEX(FPWA_HelperTable[Grant Name], MATCH(B30, FPWA_HelperTable[CFDA], 0)), "")</f>
        <v/>
      </c>
      <c r="D30" s="61" t="str">
        <f>IFERROR(INDEX(FPWA_HelperTable[FY 2018 Total], MATCH(B30, FPWA_HelperTable[CFDA], 0)), "")</f>
        <v/>
      </c>
      <c r="E30" s="62" t="str">
        <f>IFERROR(INDEX(FPWA_HelperTable[President Budget], MATCH(B30, FPWA_HelperTable[CFDA], 0)), "")</f>
        <v/>
      </c>
      <c r="F30" s="61" t="str">
        <f>IFERROR(INDEX(FPWA_HelperTable[President $ Change], MATCH(B30, FPWA_HelperTable[CFDA], 0)), "")</f>
        <v/>
      </c>
    </row>
    <row r="31" spans="2:6" ht="16.5" x14ac:dyDescent="0.3">
      <c r="B31" s="59" t="str">
        <f>IFERROR(INDEX(FPWA_HelperTable[CFDA], MATCH(DesiredOrd_FPWA[Desired Order], FPWA_HelperTable[Final Sort], 0)), "")</f>
        <v/>
      </c>
      <c r="C31" s="60" t="str">
        <f>IFERROR(INDEX(FPWA_HelperTable[Grant Name], MATCH(B31, FPWA_HelperTable[CFDA], 0)), "")</f>
        <v/>
      </c>
      <c r="D31" s="61" t="str">
        <f>IFERROR(INDEX(FPWA_HelperTable[FY 2018 Total], MATCH(B31, FPWA_HelperTable[CFDA], 0)), "")</f>
        <v/>
      </c>
      <c r="E31" s="62" t="str">
        <f>IFERROR(INDEX(FPWA_HelperTable[President Budget], MATCH(B31, FPWA_HelperTable[CFDA], 0)), "")</f>
        <v/>
      </c>
      <c r="F31" s="61" t="str">
        <f>IFERROR(INDEX(FPWA_HelperTable[President $ Change], MATCH(B31, FPWA_HelperTable[CFDA], 0)), "")</f>
        <v/>
      </c>
    </row>
    <row r="32" spans="2:6" ht="16.5" x14ac:dyDescent="0.3">
      <c r="B32" s="59" t="str">
        <f>IFERROR(INDEX(FPWA_HelperTable[CFDA], MATCH(DesiredOrd_FPWA[Desired Order], FPWA_HelperTable[Final Sort], 0)), "")</f>
        <v/>
      </c>
      <c r="C32" s="60" t="str">
        <f>IFERROR(INDEX(FPWA_HelperTable[Grant Name], MATCH(B32, FPWA_HelperTable[CFDA], 0)), "")</f>
        <v/>
      </c>
      <c r="D32" s="61" t="str">
        <f>IFERROR(INDEX(FPWA_HelperTable[FY 2018 Total], MATCH(B32, FPWA_HelperTable[CFDA], 0)), "")</f>
        <v/>
      </c>
      <c r="E32" s="62" t="str">
        <f>IFERROR(INDEX(FPWA_HelperTable[President Budget], MATCH(B32, FPWA_HelperTable[CFDA], 0)), "")</f>
        <v/>
      </c>
      <c r="F32" s="61" t="str">
        <f>IFERROR(INDEX(FPWA_HelperTable[President $ Change], MATCH(B32, FPWA_HelperTable[CFDA], 0)), "")</f>
        <v/>
      </c>
    </row>
    <row r="33" spans="2:6" ht="16.5" x14ac:dyDescent="0.3">
      <c r="B33" s="59" t="str">
        <f>IFERROR(INDEX(FPWA_HelperTable[CFDA], MATCH(DesiredOrd_FPWA[Desired Order], FPWA_HelperTable[Final Sort], 0)), "")</f>
        <v/>
      </c>
      <c r="C33" s="60" t="str">
        <f>IFERROR(INDEX(FPWA_HelperTable[Grant Name], MATCH(B33, FPWA_HelperTable[CFDA], 0)), "")</f>
        <v/>
      </c>
      <c r="D33" s="61" t="str">
        <f>IFERROR(INDEX(FPWA_HelperTable[FY 2018 Total], MATCH(B33, FPWA_HelperTable[CFDA], 0)), "")</f>
        <v/>
      </c>
      <c r="E33" s="62" t="str">
        <f>IFERROR(INDEX(FPWA_HelperTable[President Budget], MATCH(B33, FPWA_HelperTable[CFDA], 0)), "")</f>
        <v/>
      </c>
      <c r="F33" s="61" t="str">
        <f>IFERROR(INDEX(FPWA_HelperTable[President $ Change], MATCH(B33, FPWA_HelperTable[CFDA], 0)), "")</f>
        <v/>
      </c>
    </row>
    <row r="34" spans="2:6" ht="16.5" x14ac:dyDescent="0.3">
      <c r="B34" s="59" t="str">
        <f>IFERROR(INDEX(FPWA_HelperTable[CFDA], MATCH(DesiredOrd_FPWA[Desired Order], FPWA_HelperTable[Final Sort], 0)), "")</f>
        <v/>
      </c>
      <c r="C34" s="60" t="str">
        <f>IFERROR(INDEX(FPWA_HelperTable[Grant Name], MATCH(B34, FPWA_HelperTable[CFDA], 0)), "")</f>
        <v/>
      </c>
      <c r="D34" s="61" t="str">
        <f>IFERROR(INDEX(FPWA_HelperTable[FY 2018 Total], MATCH(B34, FPWA_HelperTable[CFDA], 0)), "")</f>
        <v/>
      </c>
      <c r="E34" s="62" t="str">
        <f>IFERROR(INDEX(FPWA_HelperTable[President Budget], MATCH(B34, FPWA_HelperTable[CFDA], 0)), "")</f>
        <v/>
      </c>
      <c r="F34" s="61" t="str">
        <f>IFERROR(INDEX(FPWA_HelperTable[President $ Change], MATCH(B34, FPWA_HelperTable[CFDA], 0)), "")</f>
        <v/>
      </c>
    </row>
    <row r="35" spans="2:6" ht="16.5" x14ac:dyDescent="0.3">
      <c r="B35" s="59" t="str">
        <f>IFERROR(INDEX(FPWA_HelperTable[CFDA], MATCH(DesiredOrd_FPWA[Desired Order], FPWA_HelperTable[Final Sort], 0)), "")</f>
        <v/>
      </c>
      <c r="C35" s="60" t="str">
        <f>IFERROR(INDEX(FPWA_HelperTable[Grant Name], MATCH(B35, FPWA_HelperTable[CFDA], 0)), "")</f>
        <v/>
      </c>
      <c r="D35" s="61" t="str">
        <f>IFERROR(INDEX(FPWA_HelperTable[FY 2018 Total], MATCH(B35, FPWA_HelperTable[CFDA], 0)), "")</f>
        <v/>
      </c>
      <c r="E35" s="62" t="str">
        <f>IFERROR(INDEX(FPWA_HelperTable[President Budget], MATCH(B35, FPWA_HelperTable[CFDA], 0)), "")</f>
        <v/>
      </c>
      <c r="F35" s="61" t="str">
        <f>IFERROR(INDEX(FPWA_HelperTable[President $ Change], MATCH(B35, FPWA_HelperTable[CFDA], 0)), "")</f>
        <v/>
      </c>
    </row>
    <row r="36" spans="2:6" ht="16.5" x14ac:dyDescent="0.3">
      <c r="B36" s="59" t="str">
        <f>IFERROR(INDEX(FPWA_HelperTable[CFDA], MATCH(DesiredOrd_FPWA[Desired Order], FPWA_HelperTable[Final Sort], 0)), "")</f>
        <v/>
      </c>
      <c r="C36" s="60" t="str">
        <f>IFERROR(INDEX(FPWA_HelperTable[Grant Name], MATCH(B36, FPWA_HelperTable[CFDA], 0)), "")</f>
        <v/>
      </c>
      <c r="D36" s="61" t="str">
        <f>IFERROR(INDEX(FPWA_HelperTable[FY 2018 Total], MATCH(B36, FPWA_HelperTable[CFDA], 0)), "")</f>
        <v/>
      </c>
      <c r="E36" s="62" t="str">
        <f>IFERROR(INDEX(FPWA_HelperTable[President Budget], MATCH(B36, FPWA_HelperTable[CFDA], 0)), "")</f>
        <v/>
      </c>
      <c r="F36" s="61" t="str">
        <f>IFERROR(INDEX(FPWA_HelperTable[President $ Change], MATCH(B36, FPWA_HelperTable[CFDA], 0)), "")</f>
        <v/>
      </c>
    </row>
    <row r="37" spans="2:6" ht="16.5" x14ac:dyDescent="0.3">
      <c r="B37" s="59" t="str">
        <f>IFERROR(INDEX(FPWA_HelperTable[CFDA], MATCH(DesiredOrd_FPWA[Desired Order], FPWA_HelperTable[Final Sort], 0)), "")</f>
        <v/>
      </c>
      <c r="C37" s="60" t="str">
        <f>IFERROR(INDEX(FPWA_HelperTable[Grant Name], MATCH(B37, FPWA_HelperTable[CFDA], 0)), "")</f>
        <v/>
      </c>
      <c r="D37" s="61" t="str">
        <f>IFERROR(INDEX(FPWA_HelperTable[FY 2018 Total], MATCH(B37, FPWA_HelperTable[CFDA], 0)), "")</f>
        <v/>
      </c>
      <c r="E37" s="62" t="str">
        <f>IFERROR(INDEX(FPWA_HelperTable[President Budget], MATCH(B37, FPWA_HelperTable[CFDA], 0)), "")</f>
        <v/>
      </c>
      <c r="F37" s="61" t="str">
        <f>IFERROR(INDEX(FPWA_HelperTable[President $ Change], MATCH(B37, FPWA_HelperTable[CFDA], 0)), "")</f>
        <v/>
      </c>
    </row>
    <row r="38" spans="2:6" ht="16.5" x14ac:dyDescent="0.3">
      <c r="B38" s="59" t="str">
        <f>IFERROR(INDEX(FPWA_HelperTable[CFDA], MATCH(DesiredOrd_FPWA[Desired Order], FPWA_HelperTable[Final Sort], 0)), "")</f>
        <v/>
      </c>
      <c r="C38" s="60" t="str">
        <f>IFERROR(INDEX(FPWA_HelperTable[Grant Name], MATCH(B38, FPWA_HelperTable[CFDA], 0)), "")</f>
        <v/>
      </c>
      <c r="D38" s="61" t="str">
        <f>IFERROR(INDEX(FPWA_HelperTable[FY 2018 Total], MATCH(B38, FPWA_HelperTable[CFDA], 0)), "")</f>
        <v/>
      </c>
      <c r="E38" s="62" t="str">
        <f>IFERROR(INDEX(FPWA_HelperTable[President Budget], MATCH(B38, FPWA_HelperTable[CFDA], 0)), "")</f>
        <v/>
      </c>
      <c r="F38" s="61" t="str">
        <f>IFERROR(INDEX(FPWA_HelperTable[President $ Change], MATCH(B38, FPWA_HelperTable[CFDA], 0)), "")</f>
        <v/>
      </c>
    </row>
    <row r="39" spans="2:6" ht="16.5" x14ac:dyDescent="0.3">
      <c r="B39" s="59" t="str">
        <f>IFERROR(INDEX(FPWA_HelperTable[CFDA], MATCH(DesiredOrd_FPWA[Desired Order], FPWA_HelperTable[Final Sort], 0)), "")</f>
        <v/>
      </c>
      <c r="C39" s="60" t="str">
        <f>IFERROR(INDEX(FPWA_HelperTable[Grant Name], MATCH(B39, FPWA_HelperTable[CFDA], 0)), "")</f>
        <v/>
      </c>
      <c r="D39" s="61" t="str">
        <f>IFERROR(INDEX(FPWA_HelperTable[FY 2018 Total], MATCH(B39, FPWA_HelperTable[CFDA], 0)), "")</f>
        <v/>
      </c>
      <c r="E39" s="62" t="str">
        <f>IFERROR(INDEX(FPWA_HelperTable[President Budget], MATCH(B39, FPWA_HelperTable[CFDA], 0)), "")</f>
        <v/>
      </c>
      <c r="F39" s="61" t="str">
        <f>IFERROR(INDEX(FPWA_HelperTable[President $ Change], MATCH(B39, FPWA_HelperTable[CFDA], 0)), "")</f>
        <v/>
      </c>
    </row>
    <row r="40" spans="2:6" ht="16.5" x14ac:dyDescent="0.3">
      <c r="B40" s="59" t="str">
        <f>IFERROR(INDEX(FPWA_HelperTable[CFDA], MATCH(DesiredOrd_FPWA[Desired Order], FPWA_HelperTable[Final Sort], 0)), "")</f>
        <v/>
      </c>
      <c r="C40" s="60" t="str">
        <f>IFERROR(INDEX(FPWA_HelperTable[Grant Name], MATCH(B40, FPWA_HelperTable[CFDA], 0)), "")</f>
        <v/>
      </c>
      <c r="D40" s="61" t="str">
        <f>IFERROR(INDEX(FPWA_HelperTable[FY 2018 Total], MATCH(B40, FPWA_HelperTable[CFDA], 0)), "")</f>
        <v/>
      </c>
      <c r="E40" s="62" t="str">
        <f>IFERROR(INDEX(FPWA_HelperTable[President Budget], MATCH(B40, FPWA_HelperTable[CFDA], 0)), "")</f>
        <v/>
      </c>
      <c r="F40" s="61" t="str">
        <f>IFERROR(INDEX(FPWA_HelperTable[President $ Change], MATCH(B40, FPWA_HelperTable[CFDA], 0)), "")</f>
        <v/>
      </c>
    </row>
    <row r="41" spans="2:6" ht="16.5" x14ac:dyDescent="0.3">
      <c r="B41" s="59" t="str">
        <f>IFERROR(INDEX(FPWA_HelperTable[CFDA], MATCH(DesiredOrd_FPWA[Desired Order], FPWA_HelperTable[Final Sort], 0)), "")</f>
        <v/>
      </c>
      <c r="C41" s="60" t="str">
        <f>IFERROR(INDEX(FPWA_HelperTable[Grant Name], MATCH(B41, FPWA_HelperTable[CFDA], 0)), "")</f>
        <v/>
      </c>
      <c r="D41" s="61" t="str">
        <f>IFERROR(INDEX(FPWA_HelperTable[FY 2018 Total], MATCH(B41, FPWA_HelperTable[CFDA], 0)), "")</f>
        <v/>
      </c>
      <c r="E41" s="62" t="str">
        <f>IFERROR(INDEX(FPWA_HelperTable[President Budget], MATCH(B41, FPWA_HelperTable[CFDA], 0)), "")</f>
        <v/>
      </c>
      <c r="F41" s="61" t="str">
        <f>IFERROR(INDEX(FPWA_HelperTable[President $ Change], MATCH(B41, FPWA_HelperTable[CFDA], 0)), "")</f>
        <v/>
      </c>
    </row>
    <row r="42" spans="2:6" ht="16.5" x14ac:dyDescent="0.3">
      <c r="B42" s="59" t="str">
        <f>IFERROR(INDEX(FPWA_HelperTable[CFDA], MATCH(DesiredOrd_FPWA[Desired Order], FPWA_HelperTable[Final Sort], 0)), "")</f>
        <v/>
      </c>
      <c r="C42" s="60" t="str">
        <f>IFERROR(INDEX(FPWA_HelperTable[Grant Name], MATCH(B42, FPWA_HelperTable[CFDA], 0)), "")</f>
        <v/>
      </c>
      <c r="D42" s="61" t="str">
        <f>IFERROR(INDEX(FPWA_HelperTable[FY 2018 Total], MATCH(B42, FPWA_HelperTable[CFDA], 0)), "")</f>
        <v/>
      </c>
      <c r="E42" s="62" t="str">
        <f>IFERROR(INDEX(FPWA_HelperTable[President Budget], MATCH(B42, FPWA_HelperTable[CFDA], 0)), "")</f>
        <v/>
      </c>
      <c r="F42" s="61" t="str">
        <f>IFERROR(INDEX(FPWA_HelperTable[President $ Change], MATCH(B42, FPWA_HelperTable[CFDA], 0)), "")</f>
        <v/>
      </c>
    </row>
    <row r="43" spans="2:6" ht="16.5" x14ac:dyDescent="0.3">
      <c r="B43" s="59" t="str">
        <f>IFERROR(INDEX(FPWA_HelperTable[CFDA], MATCH(DesiredOrd_FPWA[Desired Order], FPWA_HelperTable[Final Sort], 0)), "")</f>
        <v/>
      </c>
      <c r="C43" s="60" t="str">
        <f>IFERROR(INDEX(FPWA_HelperTable[Grant Name], MATCH(B43, FPWA_HelperTable[CFDA], 0)), "")</f>
        <v/>
      </c>
      <c r="D43" s="61" t="str">
        <f>IFERROR(INDEX(FPWA_HelperTable[FY 2018 Total], MATCH(B43, FPWA_HelperTable[CFDA], 0)), "")</f>
        <v/>
      </c>
      <c r="E43" s="62" t="str">
        <f>IFERROR(INDEX(FPWA_HelperTable[President Budget], MATCH(B43, FPWA_HelperTable[CFDA], 0)), "")</f>
        <v/>
      </c>
      <c r="F43" s="61" t="str">
        <f>IFERROR(INDEX(FPWA_HelperTable[President $ Change], MATCH(B43, FPWA_HelperTable[CFDA], 0)), "")</f>
        <v/>
      </c>
    </row>
    <row r="44" spans="2:6" ht="16.5" x14ac:dyDescent="0.3">
      <c r="B44" s="59" t="str">
        <f>IFERROR(INDEX(FPWA_HelperTable[CFDA], MATCH(DesiredOrd_FPWA[Desired Order], FPWA_HelperTable[Final Sort], 0)), "")</f>
        <v/>
      </c>
      <c r="C44" s="60" t="str">
        <f>IFERROR(INDEX(FPWA_HelperTable[Grant Name], MATCH(B44, FPWA_HelperTable[CFDA], 0)), "")</f>
        <v/>
      </c>
      <c r="D44" s="61" t="str">
        <f>IFERROR(INDEX(FPWA_HelperTable[FY 2018 Total], MATCH(B44, FPWA_HelperTable[CFDA], 0)), "")</f>
        <v/>
      </c>
      <c r="E44" s="62" t="str">
        <f>IFERROR(INDEX(FPWA_HelperTable[President Budget], MATCH(B44, FPWA_HelperTable[CFDA], 0)), "")</f>
        <v/>
      </c>
      <c r="F44" s="61" t="str">
        <f>IFERROR(INDEX(FPWA_HelperTable[President $ Change], MATCH(B44, FPWA_HelperTable[CFDA], 0)), "")</f>
        <v/>
      </c>
    </row>
    <row r="45" spans="2:6" ht="16.5" x14ac:dyDescent="0.3">
      <c r="B45" s="59" t="str">
        <f>IFERROR(INDEX(FPWA_HelperTable[CFDA], MATCH(DesiredOrd_FPWA[Desired Order], FPWA_HelperTable[Final Sort], 0)), "")</f>
        <v/>
      </c>
      <c r="C45" s="60" t="str">
        <f>IFERROR(INDEX(FPWA_HelperTable[Grant Name], MATCH(B45, FPWA_HelperTable[CFDA], 0)), "")</f>
        <v/>
      </c>
      <c r="D45" s="61" t="str">
        <f>IFERROR(INDEX(FPWA_HelperTable[FY 2018 Total], MATCH(B45, FPWA_HelperTable[CFDA], 0)), "")</f>
        <v/>
      </c>
      <c r="E45" s="62" t="str">
        <f>IFERROR(INDEX(FPWA_HelperTable[President Budget], MATCH(B45, FPWA_HelperTable[CFDA], 0)), "")</f>
        <v/>
      </c>
      <c r="F45" s="61" t="str">
        <f>IFERROR(INDEX(FPWA_HelperTable[President $ Change], MATCH(B45, FPWA_HelperTable[CFDA], 0)), "")</f>
        <v/>
      </c>
    </row>
    <row r="46" spans="2:6" ht="16.5" x14ac:dyDescent="0.3">
      <c r="B46" s="59" t="str">
        <f>IFERROR(INDEX(FPWA_HelperTable[CFDA], MATCH(DesiredOrd_FPWA[Desired Order], FPWA_HelperTable[Final Sort], 0)), "")</f>
        <v/>
      </c>
      <c r="C46" s="60" t="str">
        <f>IFERROR(INDEX(FPWA_HelperTable[Grant Name], MATCH(B46, FPWA_HelperTable[CFDA], 0)), "")</f>
        <v/>
      </c>
      <c r="D46" s="61" t="str">
        <f>IFERROR(INDEX(FPWA_HelperTable[FY 2018 Total], MATCH(B46, FPWA_HelperTable[CFDA], 0)), "")</f>
        <v/>
      </c>
      <c r="E46" s="62" t="str">
        <f>IFERROR(INDEX(FPWA_HelperTable[President Budget], MATCH(B46, FPWA_HelperTable[CFDA], 0)), "")</f>
        <v/>
      </c>
      <c r="F46" s="61" t="str">
        <f>IFERROR(INDEX(FPWA_HelperTable[President $ Change], MATCH(B46, FPWA_HelperTable[CFDA], 0)), "")</f>
        <v/>
      </c>
    </row>
    <row r="47" spans="2:6" ht="16.5" x14ac:dyDescent="0.3">
      <c r="B47" s="59" t="str">
        <f>IFERROR(INDEX(FPWA_HelperTable[CFDA], MATCH(DesiredOrd_FPWA[Desired Order], FPWA_HelperTable[Final Sort], 0)), "")</f>
        <v/>
      </c>
      <c r="C47" s="60" t="str">
        <f>IFERROR(INDEX(FPWA_HelperTable[Grant Name], MATCH(B47, FPWA_HelperTable[CFDA], 0)), "")</f>
        <v/>
      </c>
      <c r="D47" s="61" t="str">
        <f>IFERROR(INDEX(FPWA_HelperTable[FY 2018 Total], MATCH(B47, FPWA_HelperTable[CFDA], 0)), "")</f>
        <v/>
      </c>
      <c r="E47" s="62" t="str">
        <f>IFERROR(INDEX(FPWA_HelperTable[President Budget], MATCH(B47, FPWA_HelperTable[CFDA], 0)), "")</f>
        <v/>
      </c>
      <c r="F47" s="61" t="str">
        <f>IFERROR(INDEX(FPWA_HelperTable[President $ Change], MATCH(B47, FPWA_HelperTable[CFDA], 0)), "")</f>
        <v/>
      </c>
    </row>
    <row r="48" spans="2:6" ht="16.5" x14ac:dyDescent="0.3">
      <c r="B48" s="59" t="str">
        <f>IFERROR(INDEX(FPWA_HelperTable[CFDA], MATCH(DesiredOrd_FPWA[Desired Order], FPWA_HelperTable[Final Sort], 0)), "")</f>
        <v/>
      </c>
      <c r="C48" s="60" t="str">
        <f>IFERROR(INDEX(FPWA_HelperTable[Grant Name], MATCH(B48, FPWA_HelperTable[CFDA], 0)), "")</f>
        <v/>
      </c>
      <c r="D48" s="61" t="str">
        <f>IFERROR(INDEX(FPWA_HelperTable[FY 2018 Total], MATCH(B48, FPWA_HelperTable[CFDA], 0)), "")</f>
        <v/>
      </c>
      <c r="E48" s="62" t="str">
        <f>IFERROR(INDEX(FPWA_HelperTable[President Budget], MATCH(B48, FPWA_HelperTable[CFDA], 0)), "")</f>
        <v/>
      </c>
      <c r="F48" s="61" t="str">
        <f>IFERROR(INDEX(FPWA_HelperTable[President $ Change], MATCH(B48, FPWA_HelperTable[CFDA], 0)), "")</f>
        <v/>
      </c>
    </row>
    <row r="49" spans="2:8" ht="16.5" x14ac:dyDescent="0.3">
      <c r="B49" s="59" t="str">
        <f>IFERROR(INDEX(FPWA_HelperTable[CFDA], MATCH(DesiredOrd_FPWA[Desired Order], FPWA_HelperTable[Final Sort], 0)), "")</f>
        <v/>
      </c>
      <c r="C49" s="60" t="str">
        <f>IFERROR(INDEX(FPWA_HelperTable[Grant Name], MATCH(B49, FPWA_HelperTable[CFDA], 0)), "")</f>
        <v/>
      </c>
      <c r="D49" s="61" t="str">
        <f>IFERROR(INDEX(FPWA_HelperTable[FY 2018 Total], MATCH(B49, FPWA_HelperTable[CFDA], 0)), "")</f>
        <v/>
      </c>
      <c r="E49" s="62" t="str">
        <f>IFERROR(INDEX(FPWA_HelperTable[President Budget], MATCH(B49, FPWA_HelperTable[CFDA], 0)), "")</f>
        <v/>
      </c>
      <c r="F49" s="61" t="str">
        <f>IFERROR(INDEX(FPWA_HelperTable[President $ Change], MATCH(B49, FPWA_HelperTable[CFDA], 0)), "")</f>
        <v/>
      </c>
    </row>
    <row r="50" spans="2:8" ht="16.5" x14ac:dyDescent="0.3">
      <c r="B50" s="59" t="str">
        <f>IFERROR(INDEX(FPWA_HelperTable[CFDA], MATCH(DesiredOrd_FPWA[Desired Order], FPWA_HelperTable[Final Sort], 0)), "")</f>
        <v/>
      </c>
      <c r="C50" s="60" t="str">
        <f>IFERROR(INDEX(FPWA_HelperTable[Grant Name], MATCH(B50, FPWA_HelperTable[CFDA], 0)), "")</f>
        <v/>
      </c>
      <c r="D50" s="61" t="str">
        <f>IFERROR(INDEX(FPWA_HelperTable[FY 2018 Total], MATCH(B50, FPWA_HelperTable[CFDA], 0)), "")</f>
        <v/>
      </c>
      <c r="E50" s="62" t="str">
        <f>IFERROR(INDEX(FPWA_HelperTable[President Budget], MATCH(B50, FPWA_HelperTable[CFDA], 0)), "")</f>
        <v/>
      </c>
      <c r="F50" s="61" t="str">
        <f>IFERROR(INDEX(FPWA_HelperTable[President $ Change], MATCH(B50, FPWA_HelperTable[CFDA], 0)), "")</f>
        <v/>
      </c>
    </row>
    <row r="51" spans="2:8" ht="16.5" x14ac:dyDescent="0.3">
      <c r="B51" s="59" t="str">
        <f>IFERROR(INDEX(FPWA_HelperTable[CFDA], MATCH(DesiredOrd_FPWA[Desired Order], FPWA_HelperTable[Final Sort], 0)), "")</f>
        <v/>
      </c>
      <c r="C51" s="60" t="str">
        <f>IFERROR(INDEX(FPWA_HelperTable[Grant Name], MATCH(B51, FPWA_HelperTable[CFDA], 0)), "")</f>
        <v/>
      </c>
      <c r="D51" s="61" t="str">
        <f>IFERROR(INDEX(FPWA_HelperTable[FY 2018 Total], MATCH(B51, FPWA_HelperTable[CFDA], 0)), "")</f>
        <v/>
      </c>
      <c r="E51" s="62" t="str">
        <f>IFERROR(INDEX(FPWA_HelperTable[President Budget], MATCH(B51, FPWA_HelperTable[CFDA], 0)), "")</f>
        <v/>
      </c>
      <c r="F51" s="61" t="str">
        <f>IFERROR(INDEX(FPWA_HelperTable[President $ Change], MATCH(B51, FPWA_HelperTable[CFDA], 0)), "")</f>
        <v/>
      </c>
    </row>
    <row r="52" spans="2:8" ht="17.25" thickBot="1" x14ac:dyDescent="0.35">
      <c r="B52" s="59" t="str">
        <f>IFERROR(INDEX(FPWA_HelperTable[CFDA], MATCH(DesiredOrd_FPWA[Desired Order], FPWA_HelperTable[Final Sort], 0)), "")</f>
        <v/>
      </c>
      <c r="C52" s="60" t="str">
        <f>IFERROR(INDEX(FPWA_HelperTable[Grant Name], MATCH(B52, FPWA_HelperTable[CFDA], 0)), "")</f>
        <v/>
      </c>
      <c r="D52" s="61" t="str">
        <f>IFERROR(INDEX(FPWA_HelperTable[FY 2018 Total], MATCH(B52, FPWA_HelperTable[CFDA], 0)), "")</f>
        <v/>
      </c>
      <c r="E52" s="62" t="str">
        <f>IFERROR(INDEX(FPWA_HelperTable[President Budget], MATCH(B52, FPWA_HelperTable[CFDA], 0)), "")</f>
        <v/>
      </c>
      <c r="F52" s="61" t="str">
        <f>IFERROR(INDEX(FPWA_HelperTable[President $ Change], MATCH(B52, FPWA_HelperTable[CFDA], 0)), "")</f>
        <v/>
      </c>
    </row>
    <row r="53" spans="2:8" ht="45.75" thickBot="1" x14ac:dyDescent="0.45">
      <c r="B53" s="59" t="str">
        <f>IFERROR(INDEX(FPWA_HelperTable[CFDA], MATCH(DesiredOrd_FPWA[Desired Order], FPWA_HelperTable[Final Sort], 0)), "")</f>
        <v/>
      </c>
      <c r="C53" s="60" t="str">
        <f>IFERROR(INDEX(FPWA_HelperTable[Grant Name], MATCH(B53, FPWA_HelperTable[CFDA], 0)), "")</f>
        <v/>
      </c>
      <c r="D53" s="61" t="str">
        <f>IFERROR(INDEX(FPWA_HelperTable[FY 2018 Total], MATCH(B53, FPWA_HelperTable[CFDA], 0)), "")</f>
        <v/>
      </c>
      <c r="E53" s="62" t="str">
        <f>IFERROR(INDEX(FPWA_HelperTable[President Budget], MATCH(B53, FPWA_HelperTable[CFDA], 0)), "")</f>
        <v/>
      </c>
      <c r="F53" s="61" t="str">
        <f>IFERROR(INDEX(FPWA_HelperTable[President $ Change], MATCH(B53, FPWA_HelperTable[CFDA], 0)), "")</f>
        <v/>
      </c>
      <c r="H53" s="80" t="s">
        <v>444</v>
      </c>
    </row>
    <row r="54" spans="2:8" ht="16.5" x14ac:dyDescent="0.3">
      <c r="B54" s="59" t="str">
        <f>IFERROR(INDEX(FPWA_HelperTable[CFDA], MATCH(DesiredOrd_FPWA[Desired Order], FPWA_HelperTable[Final Sort], 0)), "")</f>
        <v/>
      </c>
      <c r="C54" s="60" t="str">
        <f>IFERROR(INDEX(FPWA_HelperTable[Grant Name], MATCH(B54, FPWA_HelperTable[CFDA], 0)), "")</f>
        <v/>
      </c>
      <c r="D54" s="61" t="str">
        <f>IFERROR(INDEX(FPWA_HelperTable[FY 2018 Total], MATCH(B54, FPWA_HelperTable[CFDA], 0)), "")</f>
        <v/>
      </c>
      <c r="E54" s="62" t="str">
        <f>IFERROR(INDEX(FPWA_HelperTable[President Budget], MATCH(B54, FPWA_HelperTable[CFDA], 0)), "")</f>
        <v/>
      </c>
      <c r="F54" s="61" t="str">
        <f>IFERROR(INDEX(FPWA_HelperTable[President $ Change], MATCH(B54, FPWA_HelperTable[CFDA], 0)), "")</f>
        <v/>
      </c>
    </row>
    <row r="55" spans="2:8" ht="16.5" x14ac:dyDescent="0.3">
      <c r="B55" s="59" t="str">
        <f>IFERROR(INDEX(FPWA_HelperTable[CFDA], MATCH(DesiredOrd_FPWA[Desired Order], FPWA_HelperTable[Final Sort], 0)), "")</f>
        <v/>
      </c>
      <c r="C55" s="60" t="str">
        <f>IFERROR(INDEX(FPWA_HelperTable[Grant Name], MATCH(B55, FPWA_HelperTable[CFDA], 0)), "")</f>
        <v/>
      </c>
      <c r="D55" s="61" t="str">
        <f>IFERROR(INDEX(FPWA_HelperTable[FY 2018 Total], MATCH(B55, FPWA_HelperTable[CFDA], 0)), "")</f>
        <v/>
      </c>
      <c r="E55" s="62" t="str">
        <f>IFERROR(INDEX(FPWA_HelperTable[President Budget], MATCH(B55, FPWA_HelperTable[CFDA], 0)), "")</f>
        <v/>
      </c>
      <c r="F55" s="61" t="str">
        <f>IFERROR(INDEX(FPWA_HelperTable[President $ Change], MATCH(B55, FPWA_HelperTable[CFDA], 0)), "")</f>
        <v/>
      </c>
    </row>
    <row r="56" spans="2:8" ht="16.5" x14ac:dyDescent="0.3">
      <c r="B56" s="59" t="str">
        <f>IFERROR(INDEX(FPWA_HelperTable[CFDA], MATCH(DesiredOrd_FPWA[Desired Order], FPWA_HelperTable[Final Sort], 0)), "")</f>
        <v/>
      </c>
      <c r="C56" s="60" t="str">
        <f>IFERROR(INDEX(FPWA_HelperTable[Grant Name], MATCH(B56, FPWA_HelperTable[CFDA], 0)), "")</f>
        <v/>
      </c>
      <c r="D56" s="61" t="str">
        <f>IFERROR(INDEX(FPWA_HelperTable[FY 2018 Total], MATCH(B56, FPWA_HelperTable[CFDA], 0)), "")</f>
        <v/>
      </c>
      <c r="E56" s="62" t="str">
        <f>IFERROR(INDEX(FPWA_HelperTable[President Budget], MATCH(B56, FPWA_HelperTable[CFDA], 0)), "")</f>
        <v/>
      </c>
      <c r="F56" s="61" t="str">
        <f>IFERROR(INDEX(FPWA_HelperTable[President $ Change], MATCH(B56, FPWA_HelperTable[CFDA], 0)), "")</f>
        <v/>
      </c>
    </row>
    <row r="57" spans="2:8" ht="16.5" x14ac:dyDescent="0.3">
      <c r="B57" s="59" t="str">
        <f>IFERROR(INDEX(FPWA_HelperTable[CFDA], MATCH(DesiredOrd_FPWA[Desired Order], FPWA_HelperTable[Final Sort], 0)), "")</f>
        <v/>
      </c>
      <c r="C57" s="60" t="str">
        <f>IFERROR(INDEX(FPWA_HelperTable[Grant Name], MATCH(B57, FPWA_HelperTable[CFDA], 0)), "")</f>
        <v/>
      </c>
      <c r="D57" s="61" t="str">
        <f>IFERROR(INDEX(FPWA_HelperTable[FY 2018 Total], MATCH(B57, FPWA_HelperTable[CFDA], 0)), "")</f>
        <v/>
      </c>
      <c r="E57" s="62" t="str">
        <f>IFERROR(INDEX(FPWA_HelperTable[President Budget], MATCH(B57, FPWA_HelperTable[CFDA], 0)), "")</f>
        <v/>
      </c>
      <c r="F57" s="61" t="str">
        <f>IFERROR(INDEX(FPWA_HelperTable[President $ Change], MATCH(B57, FPWA_HelperTable[CFDA], 0)), "")</f>
        <v/>
      </c>
    </row>
    <row r="58" spans="2:8" ht="16.5" x14ac:dyDescent="0.3">
      <c r="B58" s="59" t="str">
        <f>IFERROR(INDEX(FPWA_HelperTable[CFDA], MATCH(DesiredOrd_FPWA[Desired Order], FPWA_HelperTable[Final Sort], 0)), "")</f>
        <v/>
      </c>
      <c r="C58" s="60" t="str">
        <f>IFERROR(INDEX(FPWA_HelperTable[Grant Name], MATCH(B58, FPWA_HelperTable[CFDA], 0)), "")</f>
        <v/>
      </c>
      <c r="D58" s="61" t="str">
        <f>IFERROR(INDEX(FPWA_HelperTable[FY 2018 Total], MATCH(B58, FPWA_HelperTable[CFDA], 0)), "")</f>
        <v/>
      </c>
      <c r="E58" s="62" t="str">
        <f>IFERROR(INDEX(FPWA_HelperTable[President Budget], MATCH(B58, FPWA_HelperTable[CFDA], 0)), "")</f>
        <v/>
      </c>
      <c r="F58" s="61" t="str">
        <f>IFERROR(INDEX(FPWA_HelperTable[President $ Change], MATCH(B58, FPWA_HelperTable[CFDA], 0)), "")</f>
        <v/>
      </c>
    </row>
    <row r="59" spans="2:8" ht="16.5" x14ac:dyDescent="0.3">
      <c r="B59" s="59" t="str">
        <f>IFERROR(INDEX(FPWA_HelperTable[CFDA], MATCH(DesiredOrd_FPWA[Desired Order], FPWA_HelperTable[Final Sort], 0)), "")</f>
        <v/>
      </c>
      <c r="C59" s="60" t="str">
        <f>IFERROR(INDEX(FPWA_HelperTable[Grant Name], MATCH(B59, FPWA_HelperTable[CFDA], 0)), "")</f>
        <v/>
      </c>
      <c r="D59" s="61" t="str">
        <f>IFERROR(INDEX(FPWA_HelperTable[FY 2018 Total], MATCH(B59, FPWA_HelperTable[CFDA], 0)), "")</f>
        <v/>
      </c>
      <c r="E59" s="62" t="str">
        <f>IFERROR(INDEX(FPWA_HelperTable[President Budget], MATCH(B59, FPWA_HelperTable[CFDA], 0)), "")</f>
        <v/>
      </c>
      <c r="F59" s="61" t="str">
        <f>IFERROR(INDEX(FPWA_HelperTable[President $ Change], MATCH(B59, FPWA_HelperTable[CFDA], 0)), "")</f>
        <v/>
      </c>
    </row>
    <row r="60" spans="2:8" ht="16.5" x14ac:dyDescent="0.3">
      <c r="B60" s="59" t="str">
        <f>IFERROR(INDEX(FPWA_HelperTable[CFDA], MATCH(DesiredOrd_FPWA[Desired Order], FPWA_HelperTable[Final Sort], 0)), "")</f>
        <v/>
      </c>
      <c r="C60" s="60" t="str">
        <f>IFERROR(INDEX(FPWA_HelperTable[Grant Name], MATCH(B60, FPWA_HelperTable[CFDA], 0)), "")</f>
        <v/>
      </c>
      <c r="D60" s="61" t="str">
        <f>IFERROR(INDEX(FPWA_HelperTable[FY 2018 Total], MATCH(B60, FPWA_HelperTable[CFDA], 0)), "")</f>
        <v/>
      </c>
      <c r="E60" s="62" t="str">
        <f>IFERROR(INDEX(FPWA_HelperTable[President Budget], MATCH(B60, FPWA_HelperTable[CFDA], 0)), "")</f>
        <v/>
      </c>
      <c r="F60" s="61" t="str">
        <f>IFERROR(INDEX(FPWA_HelperTable[President $ Change], MATCH(B60, FPWA_HelperTable[CFDA], 0)), "")</f>
        <v/>
      </c>
    </row>
    <row r="61" spans="2:8" ht="16.5" x14ac:dyDescent="0.3">
      <c r="B61" s="59" t="str">
        <f>IFERROR(INDEX(FPWA_HelperTable[CFDA], MATCH(DesiredOrd_FPWA[Desired Order], FPWA_HelperTable[Final Sort], 0)), "")</f>
        <v/>
      </c>
      <c r="C61" s="60" t="str">
        <f>IFERROR(INDEX(FPWA_HelperTable[Grant Name], MATCH(B61, FPWA_HelperTable[CFDA], 0)), "")</f>
        <v/>
      </c>
      <c r="D61" s="61" t="str">
        <f>IFERROR(INDEX(FPWA_HelperTable[FY 2018 Total], MATCH(B61, FPWA_HelperTable[CFDA], 0)), "")</f>
        <v/>
      </c>
      <c r="E61" s="62" t="str">
        <f>IFERROR(INDEX(FPWA_HelperTable[President Budget], MATCH(B61, FPWA_HelperTable[CFDA], 0)), "")</f>
        <v/>
      </c>
      <c r="F61" s="61" t="str">
        <f>IFERROR(INDEX(FPWA_HelperTable[President $ Change], MATCH(B61, FPWA_HelperTable[CFDA], 0)), "")</f>
        <v/>
      </c>
    </row>
    <row r="62" spans="2:8" ht="16.5" x14ac:dyDescent="0.3">
      <c r="B62" s="59" t="str">
        <f>IFERROR(INDEX(FPWA_HelperTable[CFDA], MATCH(DesiredOrd_FPWA[Desired Order], FPWA_HelperTable[Final Sort], 0)), "")</f>
        <v/>
      </c>
      <c r="C62" s="60" t="str">
        <f>IFERROR(INDEX(FPWA_HelperTable[Grant Name], MATCH(B62, FPWA_HelperTable[CFDA], 0)), "")</f>
        <v/>
      </c>
      <c r="D62" s="61" t="str">
        <f>IFERROR(INDEX(FPWA_HelperTable[FY 2018 Total], MATCH(B62, FPWA_HelperTable[CFDA], 0)), "")</f>
        <v/>
      </c>
      <c r="E62" s="62" t="str">
        <f>IFERROR(INDEX(FPWA_HelperTable[President Budget], MATCH(B62, FPWA_HelperTable[CFDA], 0)), "")</f>
        <v/>
      </c>
      <c r="F62" s="61" t="str">
        <f>IFERROR(INDEX(FPWA_HelperTable[President $ Change], MATCH(B62, FPWA_HelperTable[CFDA], 0)), "")</f>
        <v/>
      </c>
    </row>
    <row r="63" spans="2:8" ht="16.5" x14ac:dyDescent="0.3">
      <c r="B63" s="59" t="str">
        <f>IFERROR(INDEX(FPWA_HelperTable[CFDA], MATCH(DesiredOrd_FPWA[Desired Order], FPWA_HelperTable[Final Sort], 0)), "")</f>
        <v/>
      </c>
      <c r="C63" s="60" t="str">
        <f>IFERROR(INDEX(FPWA_HelperTable[Grant Name], MATCH(B63, FPWA_HelperTable[CFDA], 0)), "")</f>
        <v/>
      </c>
      <c r="D63" s="61" t="str">
        <f>IFERROR(INDEX(FPWA_HelperTable[FY 2018 Total], MATCH(B63, FPWA_HelperTable[CFDA], 0)), "")</f>
        <v/>
      </c>
      <c r="E63" s="62" t="str">
        <f>IFERROR(INDEX(FPWA_HelperTable[President Budget], MATCH(B63, FPWA_HelperTable[CFDA], 0)), "")</f>
        <v/>
      </c>
      <c r="F63" s="61" t="str">
        <f>IFERROR(INDEX(FPWA_HelperTable[President $ Change], MATCH(B63, FPWA_HelperTable[CFDA], 0)), "")</f>
        <v/>
      </c>
    </row>
    <row r="64" spans="2:8" ht="16.5" x14ac:dyDescent="0.3">
      <c r="B64" s="59" t="str">
        <f>IFERROR(INDEX(FPWA_HelperTable[CFDA], MATCH(DesiredOrd_FPWA[Desired Order], FPWA_HelperTable[Final Sort], 0)), "")</f>
        <v/>
      </c>
      <c r="C64" s="60" t="str">
        <f>IFERROR(INDEX(FPWA_HelperTable[Grant Name], MATCH(B64, FPWA_HelperTable[CFDA], 0)), "")</f>
        <v/>
      </c>
      <c r="D64" s="61" t="str">
        <f>IFERROR(INDEX(FPWA_HelperTable[FY 2018 Total], MATCH(B64, FPWA_HelperTable[CFDA], 0)), "")</f>
        <v/>
      </c>
      <c r="E64" s="62" t="str">
        <f>IFERROR(INDEX(FPWA_HelperTable[President Budget], MATCH(B64, FPWA_HelperTable[CFDA], 0)), "")</f>
        <v/>
      </c>
      <c r="F64" s="61" t="str">
        <f>IFERROR(INDEX(FPWA_HelperTable[President $ Change], MATCH(B64, FPWA_HelperTable[CFDA], 0)), "")</f>
        <v/>
      </c>
    </row>
    <row r="65" spans="2:6" ht="16.5" x14ac:dyDescent="0.3">
      <c r="B65" s="59" t="str">
        <f>IFERROR(INDEX(FPWA_HelperTable[CFDA], MATCH(DesiredOrd_FPWA[Desired Order], FPWA_HelperTable[Final Sort], 0)), "")</f>
        <v/>
      </c>
      <c r="C65" s="60" t="str">
        <f>IFERROR(INDEX(FPWA_HelperTable[Grant Name], MATCH(B65, FPWA_HelperTable[CFDA], 0)), "")</f>
        <v/>
      </c>
      <c r="D65" s="61" t="str">
        <f>IFERROR(INDEX(FPWA_HelperTable[FY 2018 Total], MATCH(B65, FPWA_HelperTable[CFDA], 0)), "")</f>
        <v/>
      </c>
      <c r="E65" s="62" t="str">
        <f>IFERROR(INDEX(FPWA_HelperTable[President Budget], MATCH(B65, FPWA_HelperTable[CFDA], 0)), "")</f>
        <v/>
      </c>
      <c r="F65" s="61" t="str">
        <f>IFERROR(INDEX(FPWA_HelperTable[President $ Change], MATCH(B65, FPWA_HelperTable[CFDA], 0)), "")</f>
        <v/>
      </c>
    </row>
    <row r="66" spans="2:6" ht="16.5" x14ac:dyDescent="0.3">
      <c r="B66" s="59" t="str">
        <f>IFERROR(INDEX(FPWA_HelperTable[CFDA], MATCH(DesiredOrd_FPWA[Desired Order], FPWA_HelperTable[Final Sort], 0)), "")</f>
        <v/>
      </c>
      <c r="C66" s="60" t="str">
        <f>IFERROR(INDEX(FPWA_HelperTable[Grant Name], MATCH(B66, FPWA_HelperTable[CFDA], 0)), "")</f>
        <v/>
      </c>
      <c r="D66" s="61" t="str">
        <f>IFERROR(INDEX(FPWA_HelperTable[FY 2018 Total], MATCH(B66, FPWA_HelperTable[CFDA], 0)), "")</f>
        <v/>
      </c>
      <c r="E66" s="62" t="str">
        <f>IFERROR(INDEX(FPWA_HelperTable[President Budget], MATCH(B66, FPWA_HelperTable[CFDA], 0)), "")</f>
        <v/>
      </c>
      <c r="F66" s="61" t="str">
        <f>IFERROR(INDEX(FPWA_HelperTable[President $ Change], MATCH(B66, FPWA_HelperTable[CFDA], 0)), "")</f>
        <v/>
      </c>
    </row>
    <row r="67" spans="2:6" ht="16.5" x14ac:dyDescent="0.3">
      <c r="B67" s="59" t="str">
        <f>IFERROR(INDEX(FPWA_HelperTable[CFDA], MATCH(DesiredOrd_FPWA[Desired Order], FPWA_HelperTable[Final Sort], 0)), "")</f>
        <v/>
      </c>
      <c r="C67" s="60" t="str">
        <f>IFERROR(INDEX(FPWA_HelperTable[Grant Name], MATCH(B67, FPWA_HelperTable[CFDA], 0)), "")</f>
        <v/>
      </c>
      <c r="D67" s="61" t="str">
        <f>IFERROR(INDEX(FPWA_HelperTable[FY 2018 Total], MATCH(B67, FPWA_HelperTable[CFDA], 0)), "")</f>
        <v/>
      </c>
      <c r="E67" s="62" t="str">
        <f>IFERROR(INDEX(FPWA_HelperTable[President Budget], MATCH(B67, FPWA_HelperTable[CFDA], 0)), "")</f>
        <v/>
      </c>
      <c r="F67" s="61" t="str">
        <f>IFERROR(INDEX(FPWA_HelperTable[President $ Change], MATCH(B67, FPWA_HelperTable[CFDA], 0)), "")</f>
        <v/>
      </c>
    </row>
    <row r="68" spans="2:6" ht="16.5" x14ac:dyDescent="0.3">
      <c r="B68" s="59" t="str">
        <f>IFERROR(INDEX(FPWA_HelperTable[CFDA], MATCH(DesiredOrd_FPWA[Desired Order], FPWA_HelperTable[Final Sort], 0)), "")</f>
        <v/>
      </c>
      <c r="C68" s="60" t="str">
        <f>IFERROR(INDEX(FPWA_HelperTable[Grant Name], MATCH(B68, FPWA_HelperTable[CFDA], 0)), "")</f>
        <v/>
      </c>
      <c r="D68" s="61" t="str">
        <f>IFERROR(INDEX(FPWA_HelperTable[FY 2018 Total], MATCH(B68, FPWA_HelperTable[CFDA], 0)), "")</f>
        <v/>
      </c>
      <c r="E68" s="62" t="str">
        <f>IFERROR(INDEX(FPWA_HelperTable[President Budget], MATCH(B68, FPWA_HelperTable[CFDA], 0)), "")</f>
        <v/>
      </c>
      <c r="F68" s="61" t="str">
        <f>IFERROR(INDEX(FPWA_HelperTable[President $ Change], MATCH(B68, FPWA_HelperTable[CFDA], 0)), "")</f>
        <v/>
      </c>
    </row>
    <row r="69" spans="2:6" ht="16.5" x14ac:dyDescent="0.3">
      <c r="B69" s="59" t="str">
        <f>IFERROR(INDEX(FPWA_HelperTable[CFDA], MATCH(DesiredOrd_FPWA[Desired Order], FPWA_HelperTable[Final Sort], 0)), "")</f>
        <v/>
      </c>
      <c r="C69" s="60" t="str">
        <f>IFERROR(INDEX(FPWA_HelperTable[Grant Name], MATCH(B69, FPWA_HelperTable[CFDA], 0)), "")</f>
        <v/>
      </c>
      <c r="D69" s="61" t="str">
        <f>IFERROR(INDEX(FPWA_HelperTable[FY 2018 Total], MATCH(B69, FPWA_HelperTable[CFDA], 0)), "")</f>
        <v/>
      </c>
      <c r="E69" s="62" t="str">
        <f>IFERROR(INDEX(FPWA_HelperTable[President Budget], MATCH(B69, FPWA_HelperTable[CFDA], 0)), "")</f>
        <v/>
      </c>
      <c r="F69" s="61" t="str">
        <f>IFERROR(INDEX(FPWA_HelperTable[President $ Change], MATCH(B69, FPWA_HelperTable[CFDA], 0)), "")</f>
        <v/>
      </c>
    </row>
    <row r="70" spans="2:6" ht="16.5" x14ac:dyDescent="0.3">
      <c r="B70" s="59" t="str">
        <f>IFERROR(INDEX(FPWA_HelperTable[CFDA], MATCH(DesiredOrd_FPWA[Desired Order], FPWA_HelperTable[Final Sort], 0)), "")</f>
        <v/>
      </c>
      <c r="C70" s="60" t="str">
        <f>IFERROR(INDEX(FPWA_HelperTable[Grant Name], MATCH(B70, FPWA_HelperTable[CFDA], 0)), "")</f>
        <v/>
      </c>
      <c r="D70" s="61" t="str">
        <f>IFERROR(INDEX(FPWA_HelperTable[FY 2018 Total], MATCH(B70, FPWA_HelperTable[CFDA], 0)), "")</f>
        <v/>
      </c>
      <c r="E70" s="62" t="str">
        <f>IFERROR(INDEX(FPWA_HelperTable[President Budget], MATCH(B70, FPWA_HelperTable[CFDA], 0)), "")</f>
        <v/>
      </c>
      <c r="F70" s="61" t="str">
        <f>IFERROR(INDEX(FPWA_HelperTable[President $ Change], MATCH(B70, FPWA_HelperTable[CFDA], 0)), "")</f>
        <v/>
      </c>
    </row>
    <row r="71" spans="2:6" ht="16.5" x14ac:dyDescent="0.3">
      <c r="B71" s="59" t="str">
        <f>IFERROR(INDEX(FPWA_HelperTable[CFDA], MATCH(DesiredOrd_FPWA[Desired Order], FPWA_HelperTable[Final Sort], 0)), "")</f>
        <v/>
      </c>
      <c r="C71" s="60" t="str">
        <f>IFERROR(INDEX(FPWA_HelperTable[Grant Name], MATCH(B71, FPWA_HelperTable[CFDA], 0)), "")</f>
        <v/>
      </c>
      <c r="D71" s="61" t="str">
        <f>IFERROR(INDEX(FPWA_HelperTable[FY 2018 Total], MATCH(B71, FPWA_HelperTable[CFDA], 0)), "")</f>
        <v/>
      </c>
      <c r="E71" s="62" t="str">
        <f>IFERROR(INDEX(FPWA_HelperTable[President Budget], MATCH(B71, FPWA_HelperTable[CFDA], 0)), "")</f>
        <v/>
      </c>
      <c r="F71" s="61" t="str">
        <f>IFERROR(INDEX(FPWA_HelperTable[President $ Change], MATCH(B71, FPWA_HelperTable[CFDA], 0)), "")</f>
        <v/>
      </c>
    </row>
    <row r="72" spans="2:6" ht="16.5" x14ac:dyDescent="0.3">
      <c r="B72" s="59" t="str">
        <f>IFERROR(INDEX(FPWA_HelperTable[CFDA], MATCH(DesiredOrd_FPWA[Desired Order], FPWA_HelperTable[Final Sort], 0)), "")</f>
        <v/>
      </c>
      <c r="C72" s="60" t="str">
        <f>IFERROR(INDEX(FPWA_HelperTable[Grant Name], MATCH(B72, FPWA_HelperTable[CFDA], 0)), "")</f>
        <v/>
      </c>
      <c r="D72" s="61" t="str">
        <f>IFERROR(INDEX(FPWA_HelperTable[FY 2018 Total], MATCH(B72, FPWA_HelperTable[CFDA], 0)), "")</f>
        <v/>
      </c>
      <c r="E72" s="62" t="str">
        <f>IFERROR(INDEX(FPWA_HelperTable[President Budget], MATCH(B72, FPWA_HelperTable[CFDA], 0)), "")</f>
        <v/>
      </c>
      <c r="F72" s="61" t="str">
        <f>IFERROR(INDEX(FPWA_HelperTable[President $ Change], MATCH(B72, FPWA_HelperTable[CFDA], 0)), "")</f>
        <v/>
      </c>
    </row>
    <row r="73" spans="2:6" ht="16.5" x14ac:dyDescent="0.3">
      <c r="B73" s="59" t="str">
        <f>IFERROR(INDEX(FPWA_HelperTable[CFDA], MATCH(DesiredOrd_FPWA[Desired Order], FPWA_HelperTable[Final Sort], 0)), "")</f>
        <v/>
      </c>
      <c r="C73" s="60" t="str">
        <f>IFERROR(INDEX(FPWA_HelperTable[Grant Name], MATCH(B73, FPWA_HelperTable[CFDA], 0)), "")</f>
        <v/>
      </c>
      <c r="D73" s="61" t="str">
        <f>IFERROR(INDEX(FPWA_HelperTable[FY 2018 Total], MATCH(B73, FPWA_HelperTable[CFDA], 0)), "")</f>
        <v/>
      </c>
      <c r="E73" s="62" t="str">
        <f>IFERROR(INDEX(FPWA_HelperTable[President Budget], MATCH(B73, FPWA_HelperTable[CFDA], 0)), "")</f>
        <v/>
      </c>
      <c r="F73" s="61" t="str">
        <f>IFERROR(INDEX(FPWA_HelperTable[President $ Change], MATCH(B73, FPWA_HelperTable[CFDA], 0)), "")</f>
        <v/>
      </c>
    </row>
    <row r="74" spans="2:6" ht="16.5" x14ac:dyDescent="0.3">
      <c r="B74" s="59" t="str">
        <f>IFERROR(INDEX(FPWA_HelperTable[CFDA], MATCH(DesiredOrd_FPWA[Desired Order], FPWA_HelperTable[Final Sort], 0)), "")</f>
        <v/>
      </c>
      <c r="C74" s="60" t="str">
        <f>IFERROR(INDEX(FPWA_HelperTable[Grant Name], MATCH(B74, FPWA_HelperTable[CFDA], 0)), "")</f>
        <v/>
      </c>
      <c r="D74" s="61" t="str">
        <f>IFERROR(INDEX(FPWA_HelperTable[FY 2018 Total], MATCH(B74, FPWA_HelperTable[CFDA], 0)), "")</f>
        <v/>
      </c>
      <c r="E74" s="62" t="str">
        <f>IFERROR(INDEX(FPWA_HelperTable[President Budget], MATCH(B74, FPWA_HelperTable[CFDA], 0)), "")</f>
        <v/>
      </c>
      <c r="F74" s="61" t="str">
        <f>IFERROR(INDEX(FPWA_HelperTable[President $ Change], MATCH(B74, FPWA_HelperTable[CFDA], 0)), "")</f>
        <v/>
      </c>
    </row>
    <row r="75" spans="2:6" ht="16.5" x14ac:dyDescent="0.3">
      <c r="B75" s="59" t="str">
        <f>IFERROR(INDEX(FPWA_HelperTable[CFDA], MATCH(DesiredOrd_FPWA[Desired Order], FPWA_HelperTable[Final Sort], 0)), "")</f>
        <v/>
      </c>
      <c r="C75" s="60" t="str">
        <f>IFERROR(INDEX(FPWA_HelperTable[Grant Name], MATCH(B75, FPWA_HelperTable[CFDA], 0)), "")</f>
        <v/>
      </c>
      <c r="D75" s="61" t="str">
        <f>IFERROR(INDEX(FPWA_HelperTable[FY 2018 Total], MATCH(B75, FPWA_HelperTable[CFDA], 0)), "")</f>
        <v/>
      </c>
      <c r="E75" s="62" t="str">
        <f>IFERROR(INDEX(FPWA_HelperTable[President Budget], MATCH(B75, FPWA_HelperTable[CFDA], 0)), "")</f>
        <v/>
      </c>
      <c r="F75" s="61" t="str">
        <f>IFERROR(INDEX(FPWA_HelperTable[President $ Change], MATCH(B75, FPWA_HelperTable[CFDA], 0)), "")</f>
        <v/>
      </c>
    </row>
    <row r="76" spans="2:6" ht="16.5" x14ac:dyDescent="0.3">
      <c r="B76" s="59" t="str">
        <f>IFERROR(INDEX(FPWA_HelperTable[CFDA], MATCH(DesiredOrd_FPWA[Desired Order], FPWA_HelperTable[Final Sort], 0)), "")</f>
        <v/>
      </c>
      <c r="C76" s="60" t="str">
        <f>IFERROR(INDEX(FPWA_HelperTable[Grant Name], MATCH(B76, FPWA_HelperTable[CFDA], 0)), "")</f>
        <v/>
      </c>
      <c r="D76" s="61" t="str">
        <f>IFERROR(INDEX(FPWA_HelperTable[FY 2018 Total], MATCH(B76, FPWA_HelperTable[CFDA], 0)), "")</f>
        <v/>
      </c>
      <c r="E76" s="62" t="str">
        <f>IFERROR(INDEX(FPWA_HelperTable[President Budget], MATCH(B76, FPWA_HelperTable[CFDA], 0)), "")</f>
        <v/>
      </c>
      <c r="F76" s="61" t="str">
        <f>IFERROR(INDEX(FPWA_HelperTable[President $ Change], MATCH(B76, FPWA_HelperTable[CFDA], 0)), "")</f>
        <v/>
      </c>
    </row>
    <row r="77" spans="2:6" ht="16.5" x14ac:dyDescent="0.3">
      <c r="B77" s="59" t="str">
        <f>IFERROR(INDEX(FPWA_HelperTable[CFDA], MATCH(DesiredOrd_FPWA[Desired Order], FPWA_HelperTable[Final Sort], 0)), "")</f>
        <v/>
      </c>
      <c r="C77" s="60" t="str">
        <f>IFERROR(INDEX(FPWA_HelperTable[Grant Name], MATCH(B77, FPWA_HelperTable[CFDA], 0)), "")</f>
        <v/>
      </c>
      <c r="D77" s="61" t="str">
        <f>IFERROR(INDEX(FPWA_HelperTable[FY 2018 Total], MATCH(B77, FPWA_HelperTable[CFDA], 0)), "")</f>
        <v/>
      </c>
      <c r="E77" s="62" t="str">
        <f>IFERROR(INDEX(FPWA_HelperTable[President Budget], MATCH(B77, FPWA_HelperTable[CFDA], 0)), "")</f>
        <v/>
      </c>
      <c r="F77" s="61" t="str">
        <f>IFERROR(INDEX(FPWA_HelperTable[President $ Change], MATCH(B77, FPWA_HelperTable[CFDA], 0)), "")</f>
        <v/>
      </c>
    </row>
    <row r="78" spans="2:6" ht="16.5" x14ac:dyDescent="0.3">
      <c r="B78" s="59" t="str">
        <f>IFERROR(INDEX(FPWA_HelperTable[CFDA], MATCH(DesiredOrd_FPWA[Desired Order], FPWA_HelperTable[Final Sort], 0)), "")</f>
        <v/>
      </c>
      <c r="C78" s="60" t="str">
        <f>IFERROR(INDEX(FPWA_HelperTable[Grant Name], MATCH(B78, FPWA_HelperTable[CFDA], 0)), "")</f>
        <v/>
      </c>
      <c r="D78" s="61" t="str">
        <f>IFERROR(INDEX(FPWA_HelperTable[FY 2018 Total], MATCH(B78, FPWA_HelperTable[CFDA], 0)), "")</f>
        <v/>
      </c>
      <c r="E78" s="62" t="str">
        <f>IFERROR(INDEX(FPWA_HelperTable[President Budget], MATCH(B78, FPWA_HelperTable[CFDA], 0)), "")</f>
        <v/>
      </c>
      <c r="F78" s="61" t="str">
        <f>IFERROR(INDEX(FPWA_HelperTable[President $ Change], MATCH(B78, FPWA_HelperTable[CFDA], 0)), "")</f>
        <v/>
      </c>
    </row>
    <row r="79" spans="2:6" ht="16.5" x14ac:dyDescent="0.3">
      <c r="B79" s="59" t="str">
        <f>IFERROR(INDEX(FPWA_HelperTable[CFDA], MATCH(DesiredOrd_FPWA[Desired Order], FPWA_HelperTable[Final Sort], 0)), "")</f>
        <v/>
      </c>
      <c r="C79" s="60" t="str">
        <f>IFERROR(INDEX(FPWA_HelperTable[Grant Name], MATCH(B79, FPWA_HelperTable[CFDA], 0)), "")</f>
        <v/>
      </c>
      <c r="D79" s="61" t="str">
        <f>IFERROR(INDEX(FPWA_HelperTable[FY 2018 Total], MATCH(B79, FPWA_HelperTable[CFDA], 0)), "")</f>
        <v/>
      </c>
      <c r="E79" s="62" t="str">
        <f>IFERROR(INDEX(FPWA_HelperTable[President Budget], MATCH(B79, FPWA_HelperTable[CFDA], 0)), "")</f>
        <v/>
      </c>
      <c r="F79" s="61" t="str">
        <f>IFERROR(INDEX(FPWA_HelperTable[President $ Change], MATCH(B79, FPWA_HelperTable[CFDA], 0)), "")</f>
        <v/>
      </c>
    </row>
    <row r="80" spans="2:6" ht="16.5" x14ac:dyDescent="0.3">
      <c r="B80" s="59" t="str">
        <f>IFERROR(INDEX(FPWA_HelperTable[CFDA], MATCH(DesiredOrd_FPWA[Desired Order], FPWA_HelperTable[Final Sort], 0)), "")</f>
        <v/>
      </c>
      <c r="C80" s="60" t="str">
        <f>IFERROR(INDEX(FPWA_HelperTable[Grant Name], MATCH(B80, FPWA_HelperTable[CFDA], 0)), "")</f>
        <v/>
      </c>
      <c r="D80" s="61" t="str">
        <f>IFERROR(INDEX(FPWA_HelperTable[FY 2018 Total], MATCH(B80, FPWA_HelperTable[CFDA], 0)), "")</f>
        <v/>
      </c>
      <c r="E80" s="62" t="str">
        <f>IFERROR(INDEX(FPWA_HelperTable[President Budget], MATCH(B80, FPWA_HelperTable[CFDA], 0)), "")</f>
        <v/>
      </c>
      <c r="F80" s="61" t="str">
        <f>IFERROR(INDEX(FPWA_HelperTable[President $ Change], MATCH(B80, FPWA_HelperTable[CFDA], 0)), "")</f>
        <v/>
      </c>
    </row>
    <row r="81" spans="2:6" ht="16.5" x14ac:dyDescent="0.3">
      <c r="B81" s="59" t="str">
        <f>IFERROR(INDEX(FPWA_HelperTable[CFDA], MATCH(DesiredOrd_FPWA[Desired Order], FPWA_HelperTable[Final Sort], 0)), "")</f>
        <v/>
      </c>
      <c r="C81" s="60" t="str">
        <f>IFERROR(INDEX(FPWA_HelperTable[Grant Name], MATCH(B81, FPWA_HelperTable[CFDA], 0)), "")</f>
        <v/>
      </c>
      <c r="D81" s="61" t="str">
        <f>IFERROR(INDEX(FPWA_HelperTable[FY 2018 Total], MATCH(B81, FPWA_HelperTable[CFDA], 0)), "")</f>
        <v/>
      </c>
      <c r="E81" s="62" t="str">
        <f>IFERROR(INDEX(FPWA_HelperTable[President Budget], MATCH(B81, FPWA_HelperTable[CFDA], 0)), "")</f>
        <v/>
      </c>
      <c r="F81" s="61" t="str">
        <f>IFERROR(INDEX(FPWA_HelperTable[President $ Change], MATCH(B81, FPWA_HelperTable[CFDA], 0)), "")</f>
        <v/>
      </c>
    </row>
    <row r="82" spans="2:6" ht="16.5" x14ac:dyDescent="0.3">
      <c r="B82" s="59" t="str">
        <f>IFERROR(INDEX(FPWA_HelperTable[CFDA], MATCH(DesiredOrd_FPWA[Desired Order], FPWA_HelperTable[Final Sort], 0)), "")</f>
        <v/>
      </c>
      <c r="C82" s="60" t="str">
        <f>IFERROR(INDEX(FPWA_HelperTable[Grant Name], MATCH(B82, FPWA_HelperTable[CFDA], 0)), "")</f>
        <v/>
      </c>
      <c r="D82" s="61" t="str">
        <f>IFERROR(INDEX(FPWA_HelperTable[FY 2018 Total], MATCH(B82, FPWA_HelperTable[CFDA], 0)), "")</f>
        <v/>
      </c>
      <c r="E82" s="62" t="str">
        <f>IFERROR(INDEX(FPWA_HelperTable[President Budget], MATCH(B82, FPWA_HelperTable[CFDA], 0)), "")</f>
        <v/>
      </c>
      <c r="F82" s="61" t="str">
        <f>IFERROR(INDEX(FPWA_HelperTable[President $ Change], MATCH(B82, FPWA_HelperTable[CFDA], 0)), "")</f>
        <v/>
      </c>
    </row>
    <row r="83" spans="2:6" ht="16.5" x14ac:dyDescent="0.3">
      <c r="B83" s="59" t="str">
        <f>IFERROR(INDEX(FPWA_HelperTable[CFDA], MATCH(DesiredOrd_FPWA[Desired Order], FPWA_HelperTable[Final Sort], 0)), "")</f>
        <v/>
      </c>
      <c r="C83" s="60" t="str">
        <f>IFERROR(INDEX(FPWA_HelperTable[Grant Name], MATCH(B83, FPWA_HelperTable[CFDA], 0)), "")</f>
        <v/>
      </c>
      <c r="D83" s="61" t="str">
        <f>IFERROR(INDEX(FPWA_HelperTable[FY 2018 Total], MATCH(B83, FPWA_HelperTable[CFDA], 0)), "")</f>
        <v/>
      </c>
      <c r="E83" s="62" t="str">
        <f>IFERROR(INDEX(FPWA_HelperTable[President Budget], MATCH(B83, FPWA_HelperTable[CFDA], 0)), "")</f>
        <v/>
      </c>
      <c r="F83" s="61" t="str">
        <f>IFERROR(INDEX(FPWA_HelperTable[President $ Change], MATCH(B83, FPWA_HelperTable[CFDA], 0)), "")</f>
        <v/>
      </c>
    </row>
    <row r="84" spans="2:6" ht="16.5" x14ac:dyDescent="0.3">
      <c r="B84" s="59" t="str">
        <f>IFERROR(INDEX(FPWA_HelperTable[CFDA], MATCH(DesiredOrd_FPWA[Desired Order], FPWA_HelperTable[Final Sort], 0)), "")</f>
        <v/>
      </c>
      <c r="C84" s="60" t="str">
        <f>IFERROR(INDEX(FPWA_HelperTable[Grant Name], MATCH(B84, FPWA_HelperTable[CFDA], 0)), "")</f>
        <v/>
      </c>
      <c r="D84" s="61" t="str">
        <f>IFERROR(INDEX(FPWA_HelperTable[FY 2018 Total], MATCH(B84, FPWA_HelperTable[CFDA], 0)), "")</f>
        <v/>
      </c>
      <c r="E84" s="62" t="str">
        <f>IFERROR(INDEX(FPWA_HelperTable[President Budget], MATCH(B84, FPWA_HelperTable[CFDA], 0)), "")</f>
        <v/>
      </c>
      <c r="F84" s="61" t="str">
        <f>IFERROR(INDEX(FPWA_HelperTable[President $ Change], MATCH(B84, FPWA_HelperTable[CFDA], 0)), "")</f>
        <v/>
      </c>
    </row>
    <row r="85" spans="2:6" ht="16.5" x14ac:dyDescent="0.3">
      <c r="B85" s="59" t="str">
        <f>IFERROR(INDEX(FPWA_HelperTable[CFDA], MATCH(DesiredOrd_FPWA[Desired Order], FPWA_HelperTable[Final Sort], 0)), "")</f>
        <v/>
      </c>
      <c r="C85" s="60" t="str">
        <f>IFERROR(INDEX(FPWA_HelperTable[Grant Name], MATCH(B85, FPWA_HelperTable[CFDA], 0)), "")</f>
        <v/>
      </c>
      <c r="D85" s="61" t="str">
        <f>IFERROR(INDEX(FPWA_HelperTable[FY 2018 Total], MATCH(B85, FPWA_HelperTable[CFDA], 0)), "")</f>
        <v/>
      </c>
      <c r="E85" s="62" t="str">
        <f>IFERROR(INDEX(FPWA_HelperTable[President Budget], MATCH(B85, FPWA_HelperTable[CFDA], 0)), "")</f>
        <v/>
      </c>
      <c r="F85" s="61" t="str">
        <f>IFERROR(INDEX(FPWA_HelperTable[President $ Change], MATCH(B85, FPWA_HelperTable[CFDA], 0)), "")</f>
        <v/>
      </c>
    </row>
    <row r="86" spans="2:6" ht="16.5" x14ac:dyDescent="0.3">
      <c r="B86" s="59" t="str">
        <f>IFERROR(INDEX(FPWA_HelperTable[CFDA], MATCH(DesiredOrd_FPWA[Desired Order], FPWA_HelperTable[Final Sort], 0)), "")</f>
        <v/>
      </c>
      <c r="C86" s="60" t="str">
        <f>IFERROR(INDEX(FPWA_HelperTable[Grant Name], MATCH(B86, FPWA_HelperTable[CFDA], 0)), "")</f>
        <v/>
      </c>
      <c r="D86" s="61" t="str">
        <f>IFERROR(INDEX(FPWA_HelperTable[FY 2018 Total], MATCH(B86, FPWA_HelperTable[CFDA], 0)), "")</f>
        <v/>
      </c>
      <c r="E86" s="62" t="str">
        <f>IFERROR(INDEX(FPWA_HelperTable[President Budget], MATCH(B86, FPWA_HelperTable[CFDA], 0)), "")</f>
        <v/>
      </c>
      <c r="F86" s="61" t="str">
        <f>IFERROR(INDEX(FPWA_HelperTable[President $ Change], MATCH(B86, FPWA_HelperTable[CFDA], 0)), "")</f>
        <v/>
      </c>
    </row>
    <row r="87" spans="2:6" ht="16.5" x14ac:dyDescent="0.3">
      <c r="B87" s="59" t="str">
        <f>IFERROR(INDEX(FPWA_HelperTable[CFDA], MATCH(DesiredOrd_FPWA[Desired Order], FPWA_HelperTable[Final Sort], 0)), "")</f>
        <v/>
      </c>
      <c r="C87" s="60" t="str">
        <f>IFERROR(INDEX(FPWA_HelperTable[Grant Name], MATCH(B87, FPWA_HelperTable[CFDA], 0)), "")</f>
        <v/>
      </c>
      <c r="D87" s="61" t="str">
        <f>IFERROR(INDEX(FPWA_HelperTable[FY 2018 Total], MATCH(B87, FPWA_HelperTable[CFDA], 0)), "")</f>
        <v/>
      </c>
      <c r="E87" s="62" t="str">
        <f>IFERROR(INDEX(FPWA_HelperTable[President Budget], MATCH(B87, FPWA_HelperTable[CFDA], 0)), "")</f>
        <v/>
      </c>
      <c r="F87" s="61" t="str">
        <f>IFERROR(INDEX(FPWA_HelperTable[President $ Change], MATCH(B87, FPWA_HelperTable[CFDA], 0)), "")</f>
        <v/>
      </c>
    </row>
    <row r="88" spans="2:6" ht="16.5" x14ac:dyDescent="0.3">
      <c r="B88" s="59" t="str">
        <f>IFERROR(INDEX(FPWA_HelperTable[CFDA], MATCH(DesiredOrd_FPWA[Desired Order], FPWA_HelperTable[Final Sort], 0)), "")</f>
        <v/>
      </c>
      <c r="C88" s="60" t="str">
        <f>IFERROR(INDEX(FPWA_HelperTable[Grant Name], MATCH(B88, FPWA_HelperTable[CFDA], 0)), "")</f>
        <v/>
      </c>
      <c r="D88" s="61" t="str">
        <f>IFERROR(INDEX(FPWA_HelperTable[FY 2018 Total], MATCH(B88, FPWA_HelperTable[CFDA], 0)), "")</f>
        <v/>
      </c>
      <c r="E88" s="62" t="str">
        <f>IFERROR(INDEX(FPWA_HelperTable[President Budget], MATCH(B88, FPWA_HelperTable[CFDA], 0)), "")</f>
        <v/>
      </c>
      <c r="F88" s="61" t="str">
        <f>IFERROR(INDEX(FPWA_HelperTable[President $ Change], MATCH(B88, FPWA_HelperTable[CFDA], 0)), "")</f>
        <v/>
      </c>
    </row>
    <row r="89" spans="2:6" ht="16.5" x14ac:dyDescent="0.3">
      <c r="B89" s="59" t="str">
        <f>IFERROR(INDEX(FPWA_HelperTable[CFDA], MATCH(DesiredOrd_FPWA[Desired Order], FPWA_HelperTable[Final Sort], 0)), "")</f>
        <v/>
      </c>
      <c r="C89" s="60" t="str">
        <f>IFERROR(INDEX(FPWA_HelperTable[Grant Name], MATCH(B89, FPWA_HelperTable[CFDA], 0)), "")</f>
        <v/>
      </c>
      <c r="D89" s="61" t="str">
        <f>IFERROR(INDEX(FPWA_HelperTable[FY 2018 Total], MATCH(B89, FPWA_HelperTable[CFDA], 0)), "")</f>
        <v/>
      </c>
      <c r="E89" s="62" t="str">
        <f>IFERROR(INDEX(FPWA_HelperTable[President Budget], MATCH(B89, FPWA_HelperTable[CFDA], 0)), "")</f>
        <v/>
      </c>
      <c r="F89" s="61" t="str">
        <f>IFERROR(INDEX(FPWA_HelperTable[President $ Change], MATCH(B89, FPWA_HelperTable[CFDA], 0)), "")</f>
        <v/>
      </c>
    </row>
    <row r="90" spans="2:6" ht="16.5" x14ac:dyDescent="0.3">
      <c r="B90" s="59" t="str">
        <f>IFERROR(INDEX(FPWA_HelperTable[CFDA], MATCH(DesiredOrd_FPWA[Desired Order], FPWA_HelperTable[Final Sort], 0)), "")</f>
        <v/>
      </c>
      <c r="C90" s="60" t="str">
        <f>IFERROR(INDEX(FPWA_HelperTable[Grant Name], MATCH(B90, FPWA_HelperTable[CFDA], 0)), "")</f>
        <v/>
      </c>
      <c r="D90" s="61" t="str">
        <f>IFERROR(INDEX(FPWA_HelperTable[FY 2018 Total], MATCH(B90, FPWA_HelperTable[CFDA], 0)), "")</f>
        <v/>
      </c>
      <c r="E90" s="62" t="str">
        <f>IFERROR(INDEX(FPWA_HelperTable[President Budget], MATCH(B90, FPWA_HelperTable[CFDA], 0)), "")</f>
        <v/>
      </c>
      <c r="F90" s="61" t="str">
        <f>IFERROR(INDEX(FPWA_HelperTable[President $ Change], MATCH(B90, FPWA_HelperTable[CFDA], 0)), "")</f>
        <v/>
      </c>
    </row>
    <row r="91" spans="2:6" ht="16.5" x14ac:dyDescent="0.3">
      <c r="B91" s="59" t="str">
        <f>IFERROR(INDEX(FPWA_HelperTable[CFDA], MATCH(DesiredOrd_FPWA[Desired Order], FPWA_HelperTable[Final Sort], 0)), "")</f>
        <v/>
      </c>
      <c r="C91" s="60" t="str">
        <f>IFERROR(INDEX(FPWA_HelperTable[Grant Name], MATCH(B91, FPWA_HelperTable[CFDA], 0)), "")</f>
        <v/>
      </c>
      <c r="D91" s="61" t="str">
        <f>IFERROR(INDEX(FPWA_HelperTable[FY 2018 Total], MATCH(B91, FPWA_HelperTable[CFDA], 0)), "")</f>
        <v/>
      </c>
      <c r="E91" s="62" t="str">
        <f>IFERROR(INDEX(FPWA_HelperTable[President Budget], MATCH(B91, FPWA_HelperTable[CFDA], 0)), "")</f>
        <v/>
      </c>
      <c r="F91" s="61" t="str">
        <f>IFERROR(INDEX(FPWA_HelperTable[President $ Change], MATCH(B91, FPWA_HelperTable[CFDA], 0)), "")</f>
        <v/>
      </c>
    </row>
    <row r="92" spans="2:6" ht="16.5" x14ac:dyDescent="0.3">
      <c r="B92" s="59" t="str">
        <f>IFERROR(INDEX(FPWA_HelperTable[CFDA], MATCH(DesiredOrd_FPWA[Desired Order], FPWA_HelperTable[Final Sort], 0)), "")</f>
        <v/>
      </c>
      <c r="C92" s="60" t="str">
        <f>IFERROR(INDEX(FPWA_HelperTable[Grant Name], MATCH(B92, FPWA_HelperTable[CFDA], 0)), "")</f>
        <v/>
      </c>
      <c r="D92" s="61" t="str">
        <f>IFERROR(INDEX(FPWA_HelperTable[FY 2018 Total], MATCH(B92, FPWA_HelperTable[CFDA], 0)), "")</f>
        <v/>
      </c>
      <c r="E92" s="62" t="str">
        <f>IFERROR(INDEX(FPWA_HelperTable[President Budget], MATCH(B92, FPWA_HelperTable[CFDA], 0)), "")</f>
        <v/>
      </c>
      <c r="F92" s="61" t="str">
        <f>IFERROR(INDEX(FPWA_HelperTable[President $ Change], MATCH(B92, FPWA_HelperTable[CFDA], 0)), "")</f>
        <v/>
      </c>
    </row>
    <row r="93" spans="2:6" ht="16.5" x14ac:dyDescent="0.3">
      <c r="B93" s="59" t="str">
        <f>IFERROR(INDEX(FPWA_HelperTable[CFDA], MATCH(DesiredOrd_FPWA[Desired Order], FPWA_HelperTable[Final Sort], 0)), "")</f>
        <v/>
      </c>
      <c r="C93" s="60" t="str">
        <f>IFERROR(INDEX(FPWA_HelperTable[Grant Name], MATCH(B93, FPWA_HelperTable[CFDA], 0)), "")</f>
        <v/>
      </c>
      <c r="D93" s="61" t="str">
        <f>IFERROR(INDEX(FPWA_HelperTable[FY 2018 Total], MATCH(B93, FPWA_HelperTable[CFDA], 0)), "")</f>
        <v/>
      </c>
      <c r="E93" s="62" t="str">
        <f>IFERROR(INDEX(FPWA_HelperTable[President Budget], MATCH(B93, FPWA_HelperTable[CFDA], 0)), "")</f>
        <v/>
      </c>
      <c r="F93" s="61" t="str">
        <f>IFERROR(INDEX(FPWA_HelperTable[President $ Change], MATCH(B93, FPWA_HelperTable[CFDA], 0)), "")</f>
        <v/>
      </c>
    </row>
    <row r="94" spans="2:6" ht="16.5" x14ac:dyDescent="0.3">
      <c r="B94" s="59" t="str">
        <f>IFERROR(INDEX(FPWA_HelperTable[CFDA], MATCH(DesiredOrd_FPWA[Desired Order], FPWA_HelperTable[Final Sort], 0)), "")</f>
        <v/>
      </c>
      <c r="C94" s="60" t="str">
        <f>IFERROR(INDEX(FPWA_HelperTable[Grant Name], MATCH(B94, FPWA_HelperTable[CFDA], 0)), "")</f>
        <v/>
      </c>
      <c r="D94" s="61" t="str">
        <f>IFERROR(INDEX(FPWA_HelperTable[FY 2018 Total], MATCH(B94, FPWA_HelperTable[CFDA], 0)), "")</f>
        <v/>
      </c>
      <c r="E94" s="62" t="str">
        <f>IFERROR(INDEX(FPWA_HelperTable[President Budget], MATCH(B94, FPWA_HelperTable[CFDA], 0)), "")</f>
        <v/>
      </c>
      <c r="F94" s="61" t="str">
        <f>IFERROR(INDEX(FPWA_HelperTable[President $ Change], MATCH(B94, FPWA_HelperTable[CFDA], 0)), "")</f>
        <v/>
      </c>
    </row>
    <row r="95" spans="2:6" ht="16.5" x14ac:dyDescent="0.3">
      <c r="B95" s="59" t="str">
        <f>IFERROR(INDEX(FPWA_HelperTable[CFDA], MATCH(DesiredOrd_FPWA[Desired Order], FPWA_HelperTable[Final Sort], 0)), "")</f>
        <v/>
      </c>
      <c r="C95" s="60" t="str">
        <f>IFERROR(INDEX(FPWA_HelperTable[Grant Name], MATCH(B95, FPWA_HelperTable[CFDA], 0)), "")</f>
        <v/>
      </c>
      <c r="D95" s="61" t="str">
        <f>IFERROR(INDEX(FPWA_HelperTable[FY 2018 Total], MATCH(B95, FPWA_HelperTable[CFDA], 0)), "")</f>
        <v/>
      </c>
      <c r="E95" s="62" t="str">
        <f>IFERROR(INDEX(FPWA_HelperTable[President Budget], MATCH(B95, FPWA_HelperTable[CFDA], 0)), "")</f>
        <v/>
      </c>
      <c r="F95" s="61" t="str">
        <f>IFERROR(INDEX(FPWA_HelperTable[President $ Change], MATCH(B95, FPWA_HelperTable[CFDA], 0)), "")</f>
        <v/>
      </c>
    </row>
    <row r="96" spans="2:6" ht="16.5" x14ac:dyDescent="0.3">
      <c r="B96" s="59" t="str">
        <f>IFERROR(INDEX(FPWA_HelperTable[CFDA], MATCH(DesiredOrd_FPWA[Desired Order], FPWA_HelperTable[Final Sort], 0)), "")</f>
        <v/>
      </c>
      <c r="C96" s="60" t="str">
        <f>IFERROR(INDEX(FPWA_HelperTable[Grant Name], MATCH(B96, FPWA_HelperTable[CFDA], 0)), "")</f>
        <v/>
      </c>
      <c r="D96" s="61" t="str">
        <f>IFERROR(INDEX(FPWA_HelperTable[FY 2018 Total], MATCH(B96, FPWA_HelperTable[CFDA], 0)), "")</f>
        <v/>
      </c>
      <c r="E96" s="62" t="str">
        <f>IFERROR(INDEX(FPWA_HelperTable[President Budget], MATCH(B96, FPWA_HelperTable[CFDA], 0)), "")</f>
        <v/>
      </c>
      <c r="F96" s="61" t="str">
        <f>IFERROR(INDEX(FPWA_HelperTable[President $ Change], MATCH(B96, FPWA_HelperTable[CFDA], 0)), "")</f>
        <v/>
      </c>
    </row>
    <row r="97" spans="2:6" ht="16.5" x14ac:dyDescent="0.3">
      <c r="B97" s="59" t="str">
        <f>IFERROR(INDEX(FPWA_HelperTable[CFDA], MATCH(DesiredOrd_FPWA[Desired Order], FPWA_HelperTable[Final Sort], 0)), "")</f>
        <v/>
      </c>
      <c r="C97" s="60" t="str">
        <f>IFERROR(INDEX(FPWA_HelperTable[Grant Name], MATCH(B97, FPWA_HelperTable[CFDA], 0)), "")</f>
        <v/>
      </c>
      <c r="D97" s="61" t="str">
        <f>IFERROR(INDEX(FPWA_HelperTable[FY 2018 Total], MATCH(B97, FPWA_HelperTable[CFDA], 0)), "")</f>
        <v/>
      </c>
      <c r="E97" s="62" t="str">
        <f>IFERROR(INDEX(FPWA_HelperTable[President Budget], MATCH(B97, FPWA_HelperTable[CFDA], 0)), "")</f>
        <v/>
      </c>
      <c r="F97" s="61" t="str">
        <f>IFERROR(INDEX(FPWA_HelperTable[President $ Change], MATCH(B97, FPWA_HelperTable[CFDA], 0)), "")</f>
        <v/>
      </c>
    </row>
    <row r="98" spans="2:6" ht="16.5" x14ac:dyDescent="0.3">
      <c r="B98" s="59" t="str">
        <f>IFERROR(INDEX(FPWA_HelperTable[CFDA], MATCH(DesiredOrd_FPWA[Desired Order], FPWA_HelperTable[Final Sort], 0)), "")</f>
        <v/>
      </c>
      <c r="C98" s="60" t="str">
        <f>IFERROR(INDEX(FPWA_HelperTable[Grant Name], MATCH(B98, FPWA_HelperTable[CFDA], 0)), "")</f>
        <v/>
      </c>
      <c r="D98" s="61" t="str">
        <f>IFERROR(INDEX(FPWA_HelperTable[FY 2018 Total], MATCH(B98, FPWA_HelperTable[CFDA], 0)), "")</f>
        <v/>
      </c>
      <c r="E98" s="62" t="str">
        <f>IFERROR(INDEX(FPWA_HelperTable[President Budget], MATCH(B98, FPWA_HelperTable[CFDA], 0)), "")</f>
        <v/>
      </c>
      <c r="F98" s="61" t="str">
        <f>IFERROR(INDEX(FPWA_HelperTable[President $ Change], MATCH(B98, FPWA_HelperTable[CFDA], 0)), "")</f>
        <v/>
      </c>
    </row>
    <row r="99" spans="2:6" ht="16.5" x14ac:dyDescent="0.3">
      <c r="B99" s="59" t="str">
        <f>IFERROR(INDEX(FPWA_HelperTable[CFDA], MATCH(DesiredOrd_FPWA[Desired Order], FPWA_HelperTable[Final Sort], 0)), "")</f>
        <v/>
      </c>
      <c r="C99" s="60" t="str">
        <f>IFERROR(INDEX(FPWA_HelperTable[Grant Name], MATCH(B99, FPWA_HelperTable[CFDA], 0)), "")</f>
        <v/>
      </c>
      <c r="D99" s="61" t="str">
        <f>IFERROR(INDEX(FPWA_HelperTable[FY 2018 Total], MATCH(B99, FPWA_HelperTable[CFDA], 0)), "")</f>
        <v/>
      </c>
      <c r="E99" s="62" t="str">
        <f>IFERROR(INDEX(FPWA_HelperTable[President Budget], MATCH(B99, FPWA_HelperTable[CFDA], 0)), "")</f>
        <v/>
      </c>
      <c r="F99" s="61" t="str">
        <f>IFERROR(INDEX(FPWA_HelperTable[President $ Change], MATCH(B99, FPWA_HelperTable[CFDA], 0)), "")</f>
        <v/>
      </c>
    </row>
    <row r="100" spans="2:6" ht="16.5" x14ac:dyDescent="0.3">
      <c r="B100" s="59" t="str">
        <f>IFERROR(INDEX(FPWA_HelperTable[CFDA], MATCH(DesiredOrd_FPWA[Desired Order], FPWA_HelperTable[Final Sort], 0)), "")</f>
        <v/>
      </c>
      <c r="C100" s="60" t="str">
        <f>IFERROR(INDEX(FPWA_HelperTable[Grant Name], MATCH(B100, FPWA_HelperTable[CFDA], 0)), "")</f>
        <v/>
      </c>
      <c r="D100" s="61" t="str">
        <f>IFERROR(INDEX(FPWA_HelperTable[FY 2018 Total], MATCH(B100, FPWA_HelperTable[CFDA], 0)), "")</f>
        <v/>
      </c>
      <c r="E100" s="62" t="str">
        <f>IFERROR(INDEX(FPWA_HelperTable[President Budget], MATCH(B100, FPWA_HelperTable[CFDA], 0)), "")</f>
        <v/>
      </c>
      <c r="F100" s="61" t="str">
        <f>IFERROR(INDEX(FPWA_HelperTable[President $ Change], MATCH(B100, FPWA_HelperTable[CFDA], 0)), "")</f>
        <v/>
      </c>
    </row>
    <row r="101" spans="2:6" ht="16.5" x14ac:dyDescent="0.3">
      <c r="B101" s="59" t="str">
        <f>IFERROR(INDEX(FPWA_HelperTable[CFDA], MATCH(DesiredOrd_FPWA[Desired Order], FPWA_HelperTable[Final Sort], 0)), "")</f>
        <v/>
      </c>
      <c r="C101" s="60" t="str">
        <f>IFERROR(INDEX(FPWA_HelperTable[Grant Name], MATCH(B101, FPWA_HelperTable[CFDA], 0)), "")</f>
        <v/>
      </c>
      <c r="D101" s="61" t="str">
        <f>IFERROR(INDEX(FPWA_HelperTable[FY 2018 Total], MATCH(B101, FPWA_HelperTable[CFDA], 0)), "")</f>
        <v/>
      </c>
      <c r="E101" s="62" t="str">
        <f>IFERROR(INDEX(FPWA_HelperTable[President Budget], MATCH(B101, FPWA_HelperTable[CFDA], 0)), "")</f>
        <v/>
      </c>
      <c r="F101" s="61" t="str">
        <f>IFERROR(INDEX(FPWA_HelperTable[President $ Change], MATCH(B101, FPWA_HelperTable[CFDA], 0)), "")</f>
        <v/>
      </c>
    </row>
    <row r="102" spans="2:6" ht="16.5" x14ac:dyDescent="0.3">
      <c r="B102" s="59" t="str">
        <f>IFERROR(INDEX(FPWA_HelperTable[CFDA], MATCH(DesiredOrd_FPWA[Desired Order], FPWA_HelperTable[Final Sort], 0)), "")</f>
        <v/>
      </c>
      <c r="C102" s="60" t="str">
        <f>IFERROR(INDEX(FPWA_HelperTable[Grant Name], MATCH(B102, FPWA_HelperTable[CFDA], 0)), "")</f>
        <v/>
      </c>
      <c r="D102" s="61" t="str">
        <f>IFERROR(INDEX(FPWA_HelperTable[FY 2018 Total], MATCH(B102, FPWA_HelperTable[CFDA], 0)), "")</f>
        <v/>
      </c>
      <c r="E102" s="62" t="str">
        <f>IFERROR(INDEX(FPWA_HelperTable[President Budget], MATCH(B102, FPWA_HelperTable[CFDA], 0)), "")</f>
        <v/>
      </c>
      <c r="F102" s="61" t="str">
        <f>IFERROR(INDEX(FPWA_HelperTable[President $ Change], MATCH(B102, FPWA_HelperTable[CFDA], 0)), "")</f>
        <v/>
      </c>
    </row>
    <row r="103" spans="2:6" ht="16.5" x14ac:dyDescent="0.3">
      <c r="B103" s="59" t="str">
        <f>IFERROR(INDEX(FPWA_HelperTable[CFDA], MATCH(DesiredOrd_FPWA[Desired Order], FPWA_HelperTable[Final Sort], 0)), "")</f>
        <v/>
      </c>
      <c r="C103" s="60" t="str">
        <f>IFERROR(INDEX(FPWA_HelperTable[Grant Name], MATCH(B103, FPWA_HelperTable[CFDA], 0)), "")</f>
        <v/>
      </c>
      <c r="D103" s="61" t="str">
        <f>IFERROR(INDEX(FPWA_HelperTable[FY 2018 Total], MATCH(B103, FPWA_HelperTable[CFDA], 0)), "")</f>
        <v/>
      </c>
      <c r="E103" s="62" t="str">
        <f>IFERROR(INDEX(FPWA_HelperTable[President Budget], MATCH(B103, FPWA_HelperTable[CFDA], 0)), "")</f>
        <v/>
      </c>
      <c r="F103" s="61" t="str">
        <f>IFERROR(INDEX(FPWA_HelperTable[President $ Change], MATCH(B103, FPWA_HelperTable[CFDA], 0)), "")</f>
        <v/>
      </c>
    </row>
    <row r="104" spans="2:6" ht="16.5" x14ac:dyDescent="0.3">
      <c r="B104" s="59" t="str">
        <f>IFERROR(INDEX(FPWA_HelperTable[CFDA], MATCH(DesiredOrd_FPWA[Desired Order], FPWA_HelperTable[Final Sort], 0)), "")</f>
        <v/>
      </c>
      <c r="C104" s="60" t="str">
        <f>IFERROR(INDEX(FPWA_HelperTable[Grant Name], MATCH(B104, FPWA_HelperTable[CFDA], 0)), "")</f>
        <v/>
      </c>
      <c r="D104" s="61" t="str">
        <f>IFERROR(INDEX(FPWA_HelperTable[FY 2018 Total], MATCH(B104, FPWA_HelperTable[CFDA], 0)), "")</f>
        <v/>
      </c>
      <c r="E104" s="62" t="str">
        <f>IFERROR(INDEX(FPWA_HelperTable[President Budget], MATCH(B104, FPWA_HelperTable[CFDA], 0)), "")</f>
        <v/>
      </c>
      <c r="F104" s="61" t="str">
        <f>IFERROR(INDEX(FPWA_HelperTable[President $ Change], MATCH(B104, FPWA_HelperTable[CFDA], 0)), "")</f>
        <v/>
      </c>
    </row>
    <row r="105" spans="2:6" ht="16.5" x14ac:dyDescent="0.3">
      <c r="B105" s="59" t="str">
        <f>IFERROR(INDEX(FPWA_HelperTable[CFDA], MATCH(DesiredOrd_FPWA[Desired Order], FPWA_HelperTable[Final Sort], 0)), "")</f>
        <v/>
      </c>
      <c r="C105" s="60" t="str">
        <f>IFERROR(INDEX(FPWA_HelperTable[Grant Name], MATCH(B105, FPWA_HelperTable[CFDA], 0)), "")</f>
        <v/>
      </c>
      <c r="D105" s="61" t="str">
        <f>IFERROR(INDEX(FPWA_HelperTable[FY 2018 Total], MATCH(B105, FPWA_HelperTable[CFDA], 0)), "")</f>
        <v/>
      </c>
      <c r="E105" s="62" t="str">
        <f>IFERROR(INDEX(FPWA_HelperTable[President Budget], MATCH(B105, FPWA_HelperTable[CFDA], 0)), "")</f>
        <v/>
      </c>
      <c r="F105" s="61" t="str">
        <f>IFERROR(INDEX(FPWA_HelperTable[President $ Change], MATCH(B105, FPWA_HelperTable[CFDA], 0)), "")</f>
        <v/>
      </c>
    </row>
    <row r="106" spans="2:6" ht="16.5" x14ac:dyDescent="0.3">
      <c r="B106" s="59" t="str">
        <f>IFERROR(INDEX(FPWA_HelperTable[CFDA], MATCH(DesiredOrd_FPWA[Desired Order], FPWA_HelperTable[Final Sort], 0)), "")</f>
        <v/>
      </c>
      <c r="C106" s="60" t="str">
        <f>IFERROR(INDEX(FPWA_HelperTable[Grant Name], MATCH(B106, FPWA_HelperTable[CFDA], 0)), "")</f>
        <v/>
      </c>
      <c r="D106" s="61" t="str">
        <f>IFERROR(INDEX(FPWA_HelperTable[FY 2018 Total], MATCH(B106, FPWA_HelperTable[CFDA], 0)), "")</f>
        <v/>
      </c>
      <c r="E106" s="62" t="str">
        <f>IFERROR(INDEX(FPWA_HelperTable[President Budget], MATCH(B106, FPWA_HelperTable[CFDA], 0)), "")</f>
        <v/>
      </c>
      <c r="F106" s="61" t="str">
        <f>IFERROR(INDEX(FPWA_HelperTable[President $ Change], MATCH(B106, FPWA_HelperTable[CFDA], 0)), "")</f>
        <v/>
      </c>
    </row>
    <row r="107" spans="2:6" ht="16.5" x14ac:dyDescent="0.3">
      <c r="B107" s="59" t="str">
        <f>IFERROR(INDEX(FPWA_HelperTable[CFDA], MATCH(DesiredOrd_FPWA[Desired Order], FPWA_HelperTable[Final Sort], 0)), "")</f>
        <v/>
      </c>
      <c r="C107" s="60" t="str">
        <f>IFERROR(INDEX(FPWA_HelperTable[Grant Name], MATCH(B107, FPWA_HelperTable[CFDA], 0)), "")</f>
        <v/>
      </c>
      <c r="D107" s="61" t="str">
        <f>IFERROR(INDEX(FPWA_HelperTable[FY 2018 Total], MATCH(B107, FPWA_HelperTable[CFDA], 0)), "")</f>
        <v/>
      </c>
      <c r="E107" s="62" t="str">
        <f>IFERROR(INDEX(FPWA_HelperTable[President Budget], MATCH(B107, FPWA_HelperTable[CFDA], 0)), "")</f>
        <v/>
      </c>
      <c r="F107" s="61" t="str">
        <f>IFERROR(INDEX(FPWA_HelperTable[President $ Change], MATCH(B107, FPWA_HelperTable[CFDA], 0)), "")</f>
        <v/>
      </c>
    </row>
    <row r="108" spans="2:6" ht="16.5" x14ac:dyDescent="0.3">
      <c r="B108" s="59" t="str">
        <f>IFERROR(INDEX(FPWA_HelperTable[CFDA], MATCH(DesiredOrd_FPWA[Desired Order], FPWA_HelperTable[Final Sort], 0)), "")</f>
        <v/>
      </c>
      <c r="C108" s="60" t="str">
        <f>IFERROR(INDEX(FPWA_HelperTable[Grant Name], MATCH(B108, FPWA_HelperTable[CFDA], 0)), "")</f>
        <v/>
      </c>
      <c r="D108" s="61" t="str">
        <f>IFERROR(INDEX(FPWA_HelperTable[FY 2018 Total], MATCH(B108, FPWA_HelperTable[CFDA], 0)), "")</f>
        <v/>
      </c>
      <c r="E108" s="62" t="str">
        <f>IFERROR(INDEX(FPWA_HelperTable[President Budget], MATCH(B108, FPWA_HelperTable[CFDA], 0)), "")</f>
        <v/>
      </c>
      <c r="F108" s="61" t="str">
        <f>IFERROR(INDEX(FPWA_HelperTable[President $ Change], MATCH(B108, FPWA_HelperTable[CFDA], 0)), "")</f>
        <v/>
      </c>
    </row>
    <row r="109" spans="2:6" ht="16.5" x14ac:dyDescent="0.3">
      <c r="B109" s="59" t="str">
        <f>IFERROR(INDEX(FPWA_HelperTable[CFDA], MATCH(DesiredOrd_FPWA[Desired Order], FPWA_HelperTable[Final Sort], 0)), "")</f>
        <v/>
      </c>
      <c r="C109" s="60" t="str">
        <f>IFERROR(INDEX(FPWA_HelperTable[Grant Name], MATCH(B109, FPWA_HelperTable[CFDA], 0)), "")</f>
        <v/>
      </c>
      <c r="D109" s="61" t="str">
        <f>IFERROR(INDEX(FPWA_HelperTable[FY 2018 Total], MATCH(B109, FPWA_HelperTable[CFDA], 0)), "")</f>
        <v/>
      </c>
      <c r="E109" s="62" t="str">
        <f>IFERROR(INDEX(FPWA_HelperTable[President Budget], MATCH(B109, FPWA_HelperTable[CFDA], 0)), "")</f>
        <v/>
      </c>
      <c r="F109" s="61" t="str">
        <f>IFERROR(INDEX(FPWA_HelperTable[President $ Change], MATCH(B109, FPWA_HelperTable[CFDA], 0)), "")</f>
        <v/>
      </c>
    </row>
    <row r="110" spans="2:6" ht="16.5" x14ac:dyDescent="0.3">
      <c r="B110" s="59" t="str">
        <f>IFERROR(INDEX(FPWA_HelperTable[CFDA], MATCH(DesiredOrd_FPWA[Desired Order], FPWA_HelperTable[Final Sort], 0)), "")</f>
        <v/>
      </c>
      <c r="C110" s="60" t="str">
        <f>IFERROR(INDEX(FPWA_HelperTable[Grant Name], MATCH(B110, FPWA_HelperTable[CFDA], 0)), "")</f>
        <v/>
      </c>
      <c r="D110" s="61" t="str">
        <f>IFERROR(INDEX(FPWA_HelperTable[FY 2018 Total], MATCH(B110, FPWA_HelperTable[CFDA], 0)), "")</f>
        <v/>
      </c>
      <c r="E110" s="62" t="str">
        <f>IFERROR(INDEX(FPWA_HelperTable[President Budget], MATCH(B110, FPWA_HelperTable[CFDA], 0)), "")</f>
        <v/>
      </c>
      <c r="F110" s="61" t="str">
        <f>IFERROR(INDEX(FPWA_HelperTable[President $ Change], MATCH(B110, FPWA_HelperTable[CFDA], 0)), "")</f>
        <v/>
      </c>
    </row>
    <row r="111" spans="2:6" ht="16.5" x14ac:dyDescent="0.3">
      <c r="B111" s="59" t="str">
        <f>IFERROR(INDEX(FPWA_HelperTable[CFDA], MATCH(DesiredOrd_FPWA[Desired Order], FPWA_HelperTable[Final Sort], 0)), "")</f>
        <v/>
      </c>
      <c r="C111" s="60" t="str">
        <f>IFERROR(INDEX(FPWA_HelperTable[Grant Name], MATCH(B111, FPWA_HelperTable[CFDA], 0)), "")</f>
        <v/>
      </c>
      <c r="D111" s="61" t="str">
        <f>IFERROR(INDEX(FPWA_HelperTable[FY 2018 Total], MATCH(B111, FPWA_HelperTable[CFDA], 0)), "")</f>
        <v/>
      </c>
      <c r="E111" s="62" t="str">
        <f>IFERROR(INDEX(FPWA_HelperTable[President Budget], MATCH(B111, FPWA_HelperTable[CFDA], 0)), "")</f>
        <v/>
      </c>
      <c r="F111" s="61" t="str">
        <f>IFERROR(INDEX(FPWA_HelperTable[President $ Change], MATCH(B111, FPWA_HelperTable[CFDA], 0)), "")</f>
        <v/>
      </c>
    </row>
    <row r="112" spans="2:6" ht="16.5" x14ac:dyDescent="0.3">
      <c r="B112" s="59" t="str">
        <f>IFERROR(INDEX(FPWA_HelperTable[CFDA], MATCH(DesiredOrd_FPWA[Desired Order], FPWA_HelperTable[Final Sort], 0)), "")</f>
        <v/>
      </c>
      <c r="C112" s="60" t="str">
        <f>IFERROR(INDEX(FPWA_HelperTable[Grant Name], MATCH(B112, FPWA_HelperTable[CFDA], 0)), "")</f>
        <v/>
      </c>
      <c r="D112" s="61" t="str">
        <f>IFERROR(INDEX(FPWA_HelperTable[FY 2018 Total], MATCH(B112, FPWA_HelperTable[CFDA], 0)), "")</f>
        <v/>
      </c>
      <c r="E112" s="62" t="str">
        <f>IFERROR(INDEX(FPWA_HelperTable[President Budget], MATCH(B112, FPWA_HelperTable[CFDA], 0)), "")</f>
        <v/>
      </c>
      <c r="F112" s="61" t="str">
        <f>IFERROR(INDEX(FPWA_HelperTable[President $ Change], MATCH(B112, FPWA_HelperTable[CFDA], 0)), "")</f>
        <v/>
      </c>
    </row>
    <row r="113" spans="2:6" ht="16.5" x14ac:dyDescent="0.3">
      <c r="B113" s="59" t="str">
        <f>IFERROR(INDEX(FPWA_HelperTable[CFDA], MATCH(DesiredOrd_FPWA[Desired Order], FPWA_HelperTable[Final Sort], 0)), "")</f>
        <v/>
      </c>
      <c r="C113" s="60" t="str">
        <f>IFERROR(INDEX(FPWA_HelperTable[Grant Name], MATCH(B113, FPWA_HelperTable[CFDA], 0)), "")</f>
        <v/>
      </c>
      <c r="D113" s="61" t="str">
        <f>IFERROR(INDEX(FPWA_HelperTable[FY 2018 Total], MATCH(B113, FPWA_HelperTable[CFDA], 0)), "")</f>
        <v/>
      </c>
      <c r="E113" s="62" t="str">
        <f>IFERROR(INDEX(FPWA_HelperTable[President Budget], MATCH(B113, FPWA_HelperTable[CFDA], 0)), "")</f>
        <v/>
      </c>
      <c r="F113" s="61" t="str">
        <f>IFERROR(INDEX(FPWA_HelperTable[President $ Change], MATCH(B113, FPWA_HelperTable[CFDA], 0)), "")</f>
        <v/>
      </c>
    </row>
    <row r="114" spans="2:6" ht="16.5" x14ac:dyDescent="0.3">
      <c r="B114" s="59" t="str">
        <f>IFERROR(INDEX(FPWA_HelperTable[CFDA], MATCH(DesiredOrd_FPWA[Desired Order], FPWA_HelperTable[Final Sort], 0)), "")</f>
        <v/>
      </c>
      <c r="C114" s="60" t="str">
        <f>IFERROR(INDEX(FPWA_HelperTable[Grant Name], MATCH(B114, FPWA_HelperTable[CFDA], 0)), "")</f>
        <v/>
      </c>
      <c r="D114" s="61" t="str">
        <f>IFERROR(INDEX(FPWA_HelperTable[FY 2018 Total], MATCH(B114, FPWA_HelperTable[CFDA], 0)), "")</f>
        <v/>
      </c>
      <c r="E114" s="62" t="str">
        <f>IFERROR(INDEX(FPWA_HelperTable[President Budget], MATCH(B114, FPWA_HelperTable[CFDA], 0)), "")</f>
        <v/>
      </c>
      <c r="F114" s="61" t="str">
        <f>IFERROR(INDEX(FPWA_HelperTable[President $ Change], MATCH(B114, FPWA_HelperTable[CFDA], 0)), "")</f>
        <v/>
      </c>
    </row>
    <row r="115" spans="2:6" ht="16.5" x14ac:dyDescent="0.3">
      <c r="B115" s="59" t="str">
        <f>IFERROR(INDEX(FPWA_HelperTable[CFDA], MATCH(DesiredOrd_FPWA[Desired Order], FPWA_HelperTable[Final Sort], 0)), "")</f>
        <v/>
      </c>
      <c r="C115" s="60" t="str">
        <f>IFERROR(INDEX(FPWA_HelperTable[Grant Name], MATCH(B115, FPWA_HelperTable[CFDA], 0)), "")</f>
        <v/>
      </c>
      <c r="D115" s="61" t="str">
        <f>IFERROR(INDEX(FPWA_HelperTable[FY 2018 Total], MATCH(B115, FPWA_HelperTable[CFDA], 0)), "")</f>
        <v/>
      </c>
      <c r="E115" s="62" t="str">
        <f>IFERROR(INDEX(FPWA_HelperTable[President Budget], MATCH(B115, FPWA_HelperTable[CFDA], 0)), "")</f>
        <v/>
      </c>
      <c r="F115" s="61" t="str">
        <f>IFERROR(INDEX(FPWA_HelperTable[President $ Change], MATCH(B115, FPWA_HelperTable[CFDA], 0)), "")</f>
        <v/>
      </c>
    </row>
    <row r="116" spans="2:6" ht="16.5" x14ac:dyDescent="0.3">
      <c r="B116" s="59" t="str">
        <f>IFERROR(INDEX(FPWA_HelperTable[CFDA], MATCH(DesiredOrd_FPWA[Desired Order], FPWA_HelperTable[Final Sort], 0)), "")</f>
        <v/>
      </c>
      <c r="C116" s="60" t="str">
        <f>IFERROR(INDEX(FPWA_HelperTable[Grant Name], MATCH(B116, FPWA_HelperTable[CFDA], 0)), "")</f>
        <v/>
      </c>
      <c r="D116" s="61" t="str">
        <f>IFERROR(INDEX(FPWA_HelperTable[FY 2018 Total], MATCH(B116, FPWA_HelperTable[CFDA], 0)), "")</f>
        <v/>
      </c>
      <c r="E116" s="62" t="str">
        <f>IFERROR(INDEX(FPWA_HelperTable[President Budget], MATCH(B116, FPWA_HelperTable[CFDA], 0)), "")</f>
        <v/>
      </c>
      <c r="F116" s="61" t="str">
        <f>IFERROR(INDEX(FPWA_HelperTable[President $ Change], MATCH(B116, FPWA_HelperTable[CFDA], 0)), "")</f>
        <v/>
      </c>
    </row>
    <row r="117" spans="2:6" ht="16.5" x14ac:dyDescent="0.3">
      <c r="B117" s="59" t="str">
        <f>IFERROR(INDEX(FPWA_HelperTable[CFDA], MATCH(DesiredOrd_FPWA[Desired Order], FPWA_HelperTable[Final Sort], 0)), "")</f>
        <v/>
      </c>
      <c r="C117" s="60" t="str">
        <f>IFERROR(INDEX(FPWA_HelperTable[Grant Name], MATCH(B117, FPWA_HelperTable[CFDA], 0)), "")</f>
        <v/>
      </c>
      <c r="D117" s="61" t="str">
        <f>IFERROR(INDEX(FPWA_HelperTable[FY 2018 Total], MATCH(B117, FPWA_HelperTable[CFDA], 0)), "")</f>
        <v/>
      </c>
      <c r="E117" s="62" t="str">
        <f>IFERROR(INDEX(FPWA_HelperTable[President Budget], MATCH(B117, FPWA_HelperTable[CFDA], 0)), "")</f>
        <v/>
      </c>
      <c r="F117" s="61" t="str">
        <f>IFERROR(INDEX(FPWA_HelperTable[President $ Change], MATCH(B117, FPWA_HelperTable[CFDA], 0)), "")</f>
        <v/>
      </c>
    </row>
    <row r="118" spans="2:6" ht="16.5" x14ac:dyDescent="0.3">
      <c r="B118" s="59" t="str">
        <f>IFERROR(INDEX(FPWA_HelperTable[CFDA], MATCH(DesiredOrd_FPWA[Desired Order], FPWA_HelperTable[Final Sort], 0)), "")</f>
        <v/>
      </c>
      <c r="C118" s="60" t="str">
        <f>IFERROR(INDEX(FPWA_HelperTable[Grant Name], MATCH(B118, FPWA_HelperTable[CFDA], 0)), "")</f>
        <v/>
      </c>
      <c r="D118" s="61" t="str">
        <f>IFERROR(INDEX(FPWA_HelperTable[FY 2018 Total], MATCH(B118, FPWA_HelperTable[CFDA], 0)), "")</f>
        <v/>
      </c>
      <c r="E118" s="62" t="str">
        <f>IFERROR(INDEX(FPWA_HelperTable[President Budget], MATCH(B118, FPWA_HelperTable[CFDA], 0)), "")</f>
        <v/>
      </c>
      <c r="F118" s="61" t="str">
        <f>IFERROR(INDEX(FPWA_HelperTable[President $ Change], MATCH(B118, FPWA_HelperTable[CFDA], 0)), "")</f>
        <v/>
      </c>
    </row>
    <row r="119" spans="2:6" ht="16.5" x14ac:dyDescent="0.3">
      <c r="B119" s="59" t="str">
        <f>IFERROR(INDEX(FPWA_HelperTable[CFDA], MATCH(DesiredOrd_FPWA[Desired Order], FPWA_HelperTable[Final Sort], 0)), "")</f>
        <v/>
      </c>
      <c r="C119" s="60" t="str">
        <f>IFERROR(INDEX(FPWA_HelperTable[Grant Name], MATCH(B119, FPWA_HelperTable[CFDA], 0)), "")</f>
        <v/>
      </c>
      <c r="D119" s="61" t="str">
        <f>IFERROR(INDEX(FPWA_HelperTable[FY 2018 Total], MATCH(B119, FPWA_HelperTable[CFDA], 0)), "")</f>
        <v/>
      </c>
      <c r="E119" s="62" t="str">
        <f>IFERROR(INDEX(FPWA_HelperTable[President Budget], MATCH(B119, FPWA_HelperTable[CFDA], 0)), "")</f>
        <v/>
      </c>
      <c r="F119" s="61" t="str">
        <f>IFERROR(INDEX(FPWA_HelperTable[President $ Change], MATCH(B119, FPWA_HelperTable[CFDA], 0)), "")</f>
        <v/>
      </c>
    </row>
    <row r="120" spans="2:6" ht="16.5" x14ac:dyDescent="0.3">
      <c r="B120" s="59" t="str">
        <f>IFERROR(INDEX(FPWA_HelperTable[CFDA], MATCH(DesiredOrd_FPWA[Desired Order], FPWA_HelperTable[Final Sort], 0)), "")</f>
        <v/>
      </c>
      <c r="C120" s="60" t="str">
        <f>IFERROR(INDEX(FPWA_HelperTable[Grant Name], MATCH(B120, FPWA_HelperTable[CFDA], 0)), "")</f>
        <v/>
      </c>
      <c r="D120" s="61" t="str">
        <f>IFERROR(INDEX(FPWA_HelperTable[FY 2018 Total], MATCH(B120, FPWA_HelperTable[CFDA], 0)), "")</f>
        <v/>
      </c>
      <c r="E120" s="62" t="str">
        <f>IFERROR(INDEX(FPWA_HelperTable[President Budget], MATCH(B120, FPWA_HelperTable[CFDA], 0)), "")</f>
        <v/>
      </c>
      <c r="F120" s="61" t="str">
        <f>IFERROR(INDEX(FPWA_HelperTable[President $ Change], MATCH(B120, FPWA_HelperTable[CFDA], 0)), "")</f>
        <v/>
      </c>
    </row>
    <row r="121" spans="2:6" ht="16.5" x14ac:dyDescent="0.3">
      <c r="B121" s="59" t="str">
        <f>IFERROR(INDEX(FPWA_HelperTable[CFDA], MATCH(DesiredOrd_FPWA[Desired Order], FPWA_HelperTable[Final Sort], 0)), "")</f>
        <v/>
      </c>
      <c r="C121" s="60" t="str">
        <f>IFERROR(INDEX(FPWA_HelperTable[Grant Name], MATCH(B121, FPWA_HelperTable[CFDA], 0)), "")</f>
        <v/>
      </c>
      <c r="D121" s="61" t="str">
        <f>IFERROR(INDEX(FPWA_HelperTable[FY 2018 Total], MATCH(B121, FPWA_HelperTable[CFDA], 0)), "")</f>
        <v/>
      </c>
      <c r="E121" s="62" t="str">
        <f>IFERROR(INDEX(FPWA_HelperTable[President Budget], MATCH(B121, FPWA_HelperTable[CFDA], 0)), "")</f>
        <v/>
      </c>
      <c r="F121" s="61" t="str">
        <f>IFERROR(INDEX(FPWA_HelperTable[President $ Change], MATCH(B121, FPWA_HelperTable[CFDA], 0)), "")</f>
        <v/>
      </c>
    </row>
    <row r="122" spans="2:6" ht="16.5" x14ac:dyDescent="0.3">
      <c r="B122" s="59" t="str">
        <f>IFERROR(INDEX(FPWA_HelperTable[CFDA], MATCH(DesiredOrd_FPWA[Desired Order], FPWA_HelperTable[Final Sort], 0)), "")</f>
        <v/>
      </c>
      <c r="C122" s="60" t="str">
        <f>IFERROR(INDEX(FPWA_HelperTable[Grant Name], MATCH(B122, FPWA_HelperTable[CFDA], 0)), "")</f>
        <v/>
      </c>
      <c r="D122" s="61" t="str">
        <f>IFERROR(INDEX(FPWA_HelperTable[FY 2018 Total], MATCH(B122, FPWA_HelperTable[CFDA], 0)), "")</f>
        <v/>
      </c>
      <c r="E122" s="62" t="str">
        <f>IFERROR(INDEX(FPWA_HelperTable[President Budget], MATCH(B122, FPWA_HelperTable[CFDA], 0)), "")</f>
        <v/>
      </c>
      <c r="F122" s="61" t="str">
        <f>IFERROR(INDEX(FPWA_HelperTable[President $ Change], MATCH(B122, FPWA_HelperTable[CFDA], 0)), "")</f>
        <v/>
      </c>
    </row>
    <row r="123" spans="2:6" ht="16.5" x14ac:dyDescent="0.3">
      <c r="B123" s="59" t="str">
        <f>IFERROR(INDEX(FPWA_HelperTable[CFDA], MATCH(DesiredOrd_FPWA[Desired Order], FPWA_HelperTable[Final Sort], 0)), "")</f>
        <v/>
      </c>
      <c r="C123" s="60" t="str">
        <f>IFERROR(INDEX(FPWA_HelperTable[Grant Name], MATCH(B123, FPWA_HelperTable[CFDA], 0)), "")</f>
        <v/>
      </c>
      <c r="D123" s="61" t="str">
        <f>IFERROR(INDEX(FPWA_HelperTable[FY 2018 Total], MATCH(B123, FPWA_HelperTable[CFDA], 0)), "")</f>
        <v/>
      </c>
      <c r="E123" s="62" t="str">
        <f>IFERROR(INDEX(FPWA_HelperTable[President Budget], MATCH(B123, FPWA_HelperTable[CFDA], 0)), "")</f>
        <v/>
      </c>
      <c r="F123" s="61" t="str">
        <f>IFERROR(INDEX(FPWA_HelperTable[President $ Change], MATCH(B123, FPWA_HelperTable[CFDA], 0)), "")</f>
        <v/>
      </c>
    </row>
    <row r="124" spans="2:6" ht="16.5" x14ac:dyDescent="0.3">
      <c r="B124" s="59" t="str">
        <f>IFERROR(INDEX(FPWA_HelperTable[CFDA], MATCH(DesiredOrd_FPWA[Desired Order], FPWA_HelperTable[Final Sort], 0)), "")</f>
        <v/>
      </c>
      <c r="C124" s="60" t="str">
        <f>IFERROR(INDEX(FPWA_HelperTable[Grant Name], MATCH(B124, FPWA_HelperTable[CFDA], 0)), "")</f>
        <v/>
      </c>
      <c r="D124" s="61" t="str">
        <f>IFERROR(INDEX(FPWA_HelperTable[FY 2018 Total], MATCH(B124, FPWA_HelperTable[CFDA], 0)), "")</f>
        <v/>
      </c>
      <c r="E124" s="62" t="str">
        <f>IFERROR(INDEX(FPWA_HelperTable[President Budget], MATCH(B124, FPWA_HelperTable[CFDA], 0)), "")</f>
        <v/>
      </c>
      <c r="F124" s="61" t="str">
        <f>IFERROR(INDEX(FPWA_HelperTable[President $ Change], MATCH(B124, FPWA_HelperTable[CFDA], 0)), "")</f>
        <v/>
      </c>
    </row>
    <row r="125" spans="2:6" ht="16.5" x14ac:dyDescent="0.3">
      <c r="B125" s="59" t="str">
        <f>IFERROR(INDEX(FPWA_HelperTable[CFDA], MATCH(DesiredOrd_FPWA[Desired Order], FPWA_HelperTable[Final Sort], 0)), "")</f>
        <v/>
      </c>
      <c r="C125" s="60" t="str">
        <f>IFERROR(INDEX(FPWA_HelperTable[Grant Name], MATCH(B125, FPWA_HelperTable[CFDA], 0)), "")</f>
        <v/>
      </c>
      <c r="D125" s="61" t="str">
        <f>IFERROR(INDEX(FPWA_HelperTable[FY 2018 Total], MATCH(B125, FPWA_HelperTable[CFDA], 0)), "")</f>
        <v/>
      </c>
      <c r="E125" s="62" t="str">
        <f>IFERROR(INDEX(FPWA_HelperTable[President Budget], MATCH(B125, FPWA_HelperTable[CFDA], 0)), "")</f>
        <v/>
      </c>
      <c r="F125" s="61" t="str">
        <f>IFERROR(INDEX(FPWA_HelperTable[President $ Change], MATCH(B125, FPWA_HelperTable[CFDA], 0)), "")</f>
        <v/>
      </c>
    </row>
    <row r="126" spans="2:6" ht="16.5" x14ac:dyDescent="0.3">
      <c r="B126" s="59" t="str">
        <f>IFERROR(INDEX(FPWA_HelperTable[CFDA], MATCH(DesiredOrd_FPWA[Desired Order], FPWA_HelperTable[Final Sort], 0)), "")</f>
        <v/>
      </c>
      <c r="C126" s="60" t="str">
        <f>IFERROR(INDEX(FPWA_HelperTable[Grant Name], MATCH(B126, FPWA_HelperTable[CFDA], 0)), "")</f>
        <v/>
      </c>
      <c r="D126" s="61" t="str">
        <f>IFERROR(INDEX(FPWA_HelperTable[FY 2018 Total], MATCH(B126, FPWA_HelperTable[CFDA], 0)), "")</f>
        <v/>
      </c>
      <c r="E126" s="62" t="str">
        <f>IFERROR(INDEX(FPWA_HelperTable[President Budget], MATCH(B126, FPWA_HelperTable[CFDA], 0)), "")</f>
        <v/>
      </c>
      <c r="F126" s="61" t="str">
        <f>IFERROR(INDEX(FPWA_HelperTable[President $ Change], MATCH(B126, FPWA_HelperTable[CFDA], 0)), "")</f>
        <v/>
      </c>
    </row>
    <row r="127" spans="2:6" ht="16.5" x14ac:dyDescent="0.3">
      <c r="B127" s="59" t="str">
        <f>IFERROR(INDEX(FPWA_HelperTable[CFDA], MATCH(DesiredOrd_FPWA[Desired Order], FPWA_HelperTable[Final Sort], 0)), "")</f>
        <v/>
      </c>
      <c r="C127" s="60" t="str">
        <f>IFERROR(INDEX(FPWA_HelperTable[Grant Name], MATCH(B127, FPWA_HelperTable[CFDA], 0)), "")</f>
        <v/>
      </c>
      <c r="D127" s="61" t="str">
        <f>IFERROR(INDEX(FPWA_HelperTable[FY 2018 Total], MATCH(B127, FPWA_HelperTable[CFDA], 0)), "")</f>
        <v/>
      </c>
      <c r="E127" s="62" t="str">
        <f>IFERROR(INDEX(FPWA_HelperTable[President Budget], MATCH(B127, FPWA_HelperTable[CFDA], 0)), "")</f>
        <v/>
      </c>
      <c r="F127" s="61" t="str">
        <f>IFERROR(INDEX(FPWA_HelperTable[President $ Change], MATCH(B127, FPWA_HelperTable[CFDA], 0)), "")</f>
        <v/>
      </c>
    </row>
    <row r="128" spans="2:6" ht="16.5" x14ac:dyDescent="0.3">
      <c r="B128" s="59" t="str">
        <f>IFERROR(INDEX(FPWA_HelperTable[CFDA], MATCH(DesiredOrd_FPWA[Desired Order], FPWA_HelperTable[Final Sort], 0)), "")</f>
        <v/>
      </c>
      <c r="C128" s="60" t="str">
        <f>IFERROR(INDEX(FPWA_HelperTable[Grant Name], MATCH(B128, FPWA_HelperTable[CFDA], 0)), "")</f>
        <v/>
      </c>
      <c r="D128" s="61" t="str">
        <f>IFERROR(INDEX(FPWA_HelperTable[FY 2018 Total], MATCH(B128, FPWA_HelperTable[CFDA], 0)), "")</f>
        <v/>
      </c>
      <c r="E128" s="62" t="str">
        <f>IFERROR(INDEX(FPWA_HelperTable[President Budget], MATCH(B128, FPWA_HelperTable[CFDA], 0)), "")</f>
        <v/>
      </c>
      <c r="F128" s="61" t="str">
        <f>IFERROR(INDEX(FPWA_HelperTable[President $ Change], MATCH(B128, FPWA_HelperTable[CFDA], 0)), "")</f>
        <v/>
      </c>
    </row>
    <row r="129" spans="2:6" ht="16.5" x14ac:dyDescent="0.3">
      <c r="B129" s="59" t="str">
        <f>IFERROR(INDEX(FPWA_HelperTable[CFDA], MATCH(DesiredOrd_FPWA[Desired Order], FPWA_HelperTable[Final Sort], 0)), "")</f>
        <v/>
      </c>
      <c r="C129" s="60" t="str">
        <f>IFERROR(INDEX(FPWA_HelperTable[Grant Name], MATCH(B129, FPWA_HelperTable[CFDA], 0)), "")</f>
        <v/>
      </c>
      <c r="D129" s="61" t="str">
        <f>IFERROR(INDEX(FPWA_HelperTable[FY 2018 Total], MATCH(B129, FPWA_HelperTable[CFDA], 0)), "")</f>
        <v/>
      </c>
      <c r="E129" s="62" t="str">
        <f>IFERROR(INDEX(FPWA_HelperTable[President Budget], MATCH(B129, FPWA_HelperTable[CFDA], 0)), "")</f>
        <v/>
      </c>
      <c r="F129" s="61" t="str">
        <f>IFERROR(INDEX(FPWA_HelperTable[President $ Change], MATCH(B129, FPWA_HelperTable[CFDA], 0)), "")</f>
        <v/>
      </c>
    </row>
    <row r="130" spans="2:6" ht="16.5" x14ac:dyDescent="0.3">
      <c r="B130" s="59" t="str">
        <f>IFERROR(INDEX(FPWA_HelperTable[CFDA], MATCH(DesiredOrd_FPWA[Desired Order], FPWA_HelperTable[Final Sort], 0)), "")</f>
        <v/>
      </c>
      <c r="C130" s="60" t="str">
        <f>IFERROR(INDEX(FPWA_HelperTable[Grant Name], MATCH(B130, FPWA_HelperTable[CFDA], 0)), "")</f>
        <v/>
      </c>
      <c r="D130" s="61" t="str">
        <f>IFERROR(INDEX(FPWA_HelperTable[FY 2018 Total], MATCH(B130, FPWA_HelperTable[CFDA], 0)), "")</f>
        <v/>
      </c>
      <c r="E130" s="62" t="str">
        <f>IFERROR(INDEX(FPWA_HelperTable[President Budget], MATCH(B130, FPWA_HelperTable[CFDA], 0)), "")</f>
        <v/>
      </c>
      <c r="F130" s="61" t="str">
        <f>IFERROR(INDEX(FPWA_HelperTable[President $ Change], MATCH(B130, FPWA_HelperTable[CFDA], 0)), "")</f>
        <v/>
      </c>
    </row>
    <row r="131" spans="2:6" ht="16.5" x14ac:dyDescent="0.3">
      <c r="B131" s="59" t="str">
        <f>IFERROR(INDEX(FPWA_HelperTable[CFDA], MATCH(DesiredOrd_FPWA[Desired Order], FPWA_HelperTable[Final Sort], 0)), "")</f>
        <v/>
      </c>
      <c r="C131" s="60" t="str">
        <f>IFERROR(INDEX(FPWA_HelperTable[Grant Name], MATCH(B131, FPWA_HelperTable[CFDA], 0)), "")</f>
        <v/>
      </c>
      <c r="D131" s="61" t="str">
        <f>IFERROR(INDEX(FPWA_HelperTable[FY 2018 Total], MATCH(B131, FPWA_HelperTable[CFDA], 0)), "")</f>
        <v/>
      </c>
      <c r="E131" s="62" t="str">
        <f>IFERROR(INDEX(FPWA_HelperTable[President Budget], MATCH(B131, FPWA_HelperTable[CFDA], 0)), "")</f>
        <v/>
      </c>
      <c r="F131" s="61" t="str">
        <f>IFERROR(INDEX(FPWA_HelperTable[President $ Change], MATCH(B131, FPWA_HelperTable[CFDA], 0)), "")</f>
        <v/>
      </c>
    </row>
    <row r="132" spans="2:6" ht="16.5" x14ac:dyDescent="0.3">
      <c r="B132" s="59" t="str">
        <f>IFERROR(INDEX(FPWA_HelperTable[CFDA], MATCH(DesiredOrd_FPWA[Desired Order], FPWA_HelperTable[Final Sort], 0)), "")</f>
        <v/>
      </c>
      <c r="C132" s="60" t="str">
        <f>IFERROR(INDEX(FPWA_HelperTable[Grant Name], MATCH(B132, FPWA_HelperTable[CFDA], 0)), "")</f>
        <v/>
      </c>
      <c r="D132" s="61" t="str">
        <f>IFERROR(INDEX(FPWA_HelperTable[FY 2018 Total], MATCH(B132, FPWA_HelperTable[CFDA], 0)), "")</f>
        <v/>
      </c>
      <c r="E132" s="62" t="str">
        <f>IFERROR(INDEX(FPWA_HelperTable[President Budget], MATCH(B132, FPWA_HelperTable[CFDA], 0)), "")</f>
        <v/>
      </c>
      <c r="F132" s="61" t="str">
        <f>IFERROR(INDEX(FPWA_HelperTable[President $ Change], MATCH(B132, FPWA_HelperTable[CFDA], 0)), "")</f>
        <v/>
      </c>
    </row>
    <row r="133" spans="2:6" ht="16.5" x14ac:dyDescent="0.3">
      <c r="B133" s="59" t="str">
        <f>IFERROR(INDEX(FPWA_HelperTable[CFDA], MATCH(DesiredOrd_FPWA[Desired Order], FPWA_HelperTable[Final Sort], 0)), "")</f>
        <v/>
      </c>
      <c r="C133" s="60" t="str">
        <f>IFERROR(INDEX(FPWA_HelperTable[Grant Name], MATCH(B133, FPWA_HelperTable[CFDA], 0)), "")</f>
        <v/>
      </c>
      <c r="D133" s="61" t="str">
        <f>IFERROR(INDEX(FPWA_HelperTable[FY 2018 Total], MATCH(B133, FPWA_HelperTable[CFDA], 0)), "")</f>
        <v/>
      </c>
      <c r="E133" s="62" t="str">
        <f>IFERROR(INDEX(FPWA_HelperTable[President Budget], MATCH(B133, FPWA_HelperTable[CFDA], 0)), "")</f>
        <v/>
      </c>
      <c r="F133" s="61" t="str">
        <f>IFERROR(INDEX(FPWA_HelperTable[President $ Change], MATCH(B133, FPWA_HelperTable[CFDA], 0)), "")</f>
        <v/>
      </c>
    </row>
    <row r="134" spans="2:6" ht="16.5" x14ac:dyDescent="0.3">
      <c r="B134" s="59" t="str">
        <f>IFERROR(INDEX(FPWA_HelperTable[CFDA], MATCH(DesiredOrd_FPWA[Desired Order], FPWA_HelperTable[Final Sort], 0)), "")</f>
        <v/>
      </c>
      <c r="C134" s="60" t="str">
        <f>IFERROR(INDEX(FPWA_HelperTable[Grant Name], MATCH(B134, FPWA_HelperTable[CFDA], 0)), "")</f>
        <v/>
      </c>
      <c r="D134" s="61" t="str">
        <f>IFERROR(INDEX(FPWA_HelperTable[FY 2018 Total], MATCH(B134, FPWA_HelperTable[CFDA], 0)), "")</f>
        <v/>
      </c>
      <c r="E134" s="62" t="str">
        <f>IFERROR(INDEX(FPWA_HelperTable[President Budget], MATCH(B134, FPWA_HelperTable[CFDA], 0)), "")</f>
        <v/>
      </c>
      <c r="F134" s="61" t="str">
        <f>IFERROR(INDEX(FPWA_HelperTable[President $ Change], MATCH(B134, FPWA_HelperTable[CFDA], 0)), "")</f>
        <v/>
      </c>
    </row>
    <row r="135" spans="2:6" ht="16.5" x14ac:dyDescent="0.3">
      <c r="B135" s="59" t="str">
        <f>IFERROR(INDEX(FPWA_HelperTable[CFDA], MATCH(DesiredOrd_FPWA[Desired Order], FPWA_HelperTable[Final Sort], 0)), "")</f>
        <v/>
      </c>
      <c r="C135" s="60" t="str">
        <f>IFERROR(INDEX(FPWA_HelperTable[Grant Name], MATCH(B135, FPWA_HelperTable[CFDA], 0)), "")</f>
        <v/>
      </c>
      <c r="D135" s="61" t="str">
        <f>IFERROR(INDEX(FPWA_HelperTable[FY 2018 Total], MATCH(B135, FPWA_HelperTable[CFDA], 0)), "")</f>
        <v/>
      </c>
      <c r="E135" s="62" t="str">
        <f>IFERROR(INDEX(FPWA_HelperTable[President Budget], MATCH(B135, FPWA_HelperTable[CFDA], 0)), "")</f>
        <v/>
      </c>
      <c r="F135" s="61" t="str">
        <f>IFERROR(INDEX(FPWA_HelperTable[President $ Change], MATCH(B135, FPWA_HelperTable[CFDA], 0)), "")</f>
        <v/>
      </c>
    </row>
    <row r="136" spans="2:6" ht="16.5" x14ac:dyDescent="0.3">
      <c r="B136" s="59" t="str">
        <f>IFERROR(INDEX(FPWA_HelperTable[CFDA], MATCH(DesiredOrd_FPWA[Desired Order], FPWA_HelperTable[Final Sort], 0)), "")</f>
        <v/>
      </c>
      <c r="C136" s="60" t="str">
        <f>IFERROR(INDEX(FPWA_HelperTable[Grant Name], MATCH(B136, FPWA_HelperTable[CFDA], 0)), "")</f>
        <v/>
      </c>
      <c r="D136" s="61" t="str">
        <f>IFERROR(INDEX(FPWA_HelperTable[FY 2018 Total], MATCH(B136, FPWA_HelperTable[CFDA], 0)), "")</f>
        <v/>
      </c>
      <c r="E136" s="62" t="str">
        <f>IFERROR(INDEX(FPWA_HelperTable[President Budget], MATCH(B136, FPWA_HelperTable[CFDA], 0)), "")</f>
        <v/>
      </c>
      <c r="F136" s="61" t="str">
        <f>IFERROR(INDEX(FPWA_HelperTable[President $ Change], MATCH(B136, FPWA_HelperTable[CFDA], 0)), "")</f>
        <v/>
      </c>
    </row>
    <row r="137" spans="2:6" ht="16.5" x14ac:dyDescent="0.3">
      <c r="B137" s="59" t="str">
        <f>IFERROR(INDEX(FPWA_HelperTable[CFDA], MATCH(DesiredOrd_FPWA[Desired Order], FPWA_HelperTable[Final Sort], 0)), "")</f>
        <v/>
      </c>
      <c r="C137" s="60" t="str">
        <f>IFERROR(INDEX(FPWA_HelperTable[Grant Name], MATCH(B137, FPWA_HelperTable[CFDA], 0)), "")</f>
        <v/>
      </c>
      <c r="D137" s="61" t="str">
        <f>IFERROR(INDEX(FPWA_HelperTable[FY 2018 Total], MATCH(B137, FPWA_HelperTable[CFDA], 0)), "")</f>
        <v/>
      </c>
      <c r="E137" s="62" t="str">
        <f>IFERROR(INDEX(FPWA_HelperTable[President Budget], MATCH(B137, FPWA_HelperTable[CFDA], 0)), "")</f>
        <v/>
      </c>
      <c r="F137" s="61" t="str">
        <f>IFERROR(INDEX(FPWA_HelperTable[President $ Change], MATCH(B137, FPWA_HelperTable[CFDA], 0)), "")</f>
        <v/>
      </c>
    </row>
    <row r="138" spans="2:6" ht="16.5" x14ac:dyDescent="0.3">
      <c r="B138" s="59" t="str">
        <f>IFERROR(INDEX(FPWA_HelperTable[CFDA], MATCH(DesiredOrd_FPWA[Desired Order], FPWA_HelperTable[Final Sort], 0)), "")</f>
        <v/>
      </c>
      <c r="C138" s="60" t="str">
        <f>IFERROR(INDEX(FPWA_HelperTable[Grant Name], MATCH(B138, FPWA_HelperTable[CFDA], 0)), "")</f>
        <v/>
      </c>
      <c r="D138" s="61" t="str">
        <f>IFERROR(INDEX(FPWA_HelperTable[FY 2018 Total], MATCH(B138, FPWA_HelperTable[CFDA], 0)), "")</f>
        <v/>
      </c>
      <c r="E138" s="62" t="str">
        <f>IFERROR(INDEX(FPWA_HelperTable[President Budget], MATCH(B138, FPWA_HelperTable[CFDA], 0)), "")</f>
        <v/>
      </c>
      <c r="F138" s="61" t="str">
        <f>IFERROR(INDEX(FPWA_HelperTable[President $ Change], MATCH(B138, FPWA_HelperTable[CFDA], 0)), "")</f>
        <v/>
      </c>
    </row>
    <row r="139" spans="2:6" ht="16.5" x14ac:dyDescent="0.3">
      <c r="B139" s="59" t="str">
        <f>IFERROR(INDEX(FPWA_HelperTable[CFDA], MATCH(DesiredOrd_FPWA[Desired Order], FPWA_HelperTable[Final Sort], 0)), "")</f>
        <v/>
      </c>
      <c r="C139" s="60" t="str">
        <f>IFERROR(INDEX(FPWA_HelperTable[Grant Name], MATCH(B139, FPWA_HelperTable[CFDA], 0)), "")</f>
        <v/>
      </c>
      <c r="D139" s="61" t="str">
        <f>IFERROR(INDEX(FPWA_HelperTable[FY 2018 Total], MATCH(B139, FPWA_HelperTable[CFDA], 0)), "")</f>
        <v/>
      </c>
      <c r="E139" s="62" t="str">
        <f>IFERROR(INDEX(FPWA_HelperTable[President Budget], MATCH(B139, FPWA_HelperTable[CFDA], 0)), "")</f>
        <v/>
      </c>
      <c r="F139" s="61" t="str">
        <f>IFERROR(INDEX(FPWA_HelperTable[President $ Change], MATCH(B139, FPWA_HelperTable[CFDA], 0)), "")</f>
        <v/>
      </c>
    </row>
    <row r="140" spans="2:6" ht="16.5" x14ac:dyDescent="0.3">
      <c r="B140" s="59" t="str">
        <f>IFERROR(INDEX(FPWA_HelperTable[CFDA], MATCH(DesiredOrd_FPWA[Desired Order], FPWA_HelperTable[Final Sort], 0)), "")</f>
        <v/>
      </c>
      <c r="C140" s="60" t="str">
        <f>IFERROR(INDEX(FPWA_HelperTable[Grant Name], MATCH(B140, FPWA_HelperTable[CFDA], 0)), "")</f>
        <v/>
      </c>
      <c r="D140" s="61" t="str">
        <f>IFERROR(INDEX(FPWA_HelperTable[FY 2018 Total], MATCH(B140, FPWA_HelperTable[CFDA], 0)), "")</f>
        <v/>
      </c>
      <c r="E140" s="62" t="str">
        <f>IFERROR(INDEX(FPWA_HelperTable[President Budget], MATCH(B140, FPWA_HelperTable[CFDA], 0)), "")</f>
        <v/>
      </c>
      <c r="F140" s="61" t="str">
        <f>IFERROR(INDEX(FPWA_HelperTable[President $ Change], MATCH(B140, FPWA_HelperTable[CFDA], 0)), "")</f>
        <v/>
      </c>
    </row>
    <row r="141" spans="2:6" ht="16.5" x14ac:dyDescent="0.3">
      <c r="B141" s="59" t="str">
        <f>IFERROR(INDEX(FPWA_HelperTable[CFDA], MATCH(DesiredOrd_FPWA[Desired Order], FPWA_HelperTable[Final Sort], 0)), "")</f>
        <v/>
      </c>
      <c r="C141" s="60" t="str">
        <f>IFERROR(INDEX(FPWA_HelperTable[Grant Name], MATCH(B141, FPWA_HelperTable[CFDA], 0)), "")</f>
        <v/>
      </c>
      <c r="D141" s="61" t="str">
        <f>IFERROR(INDEX(FPWA_HelperTable[FY 2018 Total], MATCH(B141, FPWA_HelperTable[CFDA], 0)), "")</f>
        <v/>
      </c>
      <c r="E141" s="62" t="str">
        <f>IFERROR(INDEX(FPWA_HelperTable[President Budget], MATCH(B141, FPWA_HelperTable[CFDA], 0)), "")</f>
        <v/>
      </c>
      <c r="F141" s="61" t="str">
        <f>IFERROR(INDEX(FPWA_HelperTable[President $ Change], MATCH(B141, FPWA_HelperTable[CFDA], 0)), "")</f>
        <v/>
      </c>
    </row>
    <row r="142" spans="2:6" ht="16.5" x14ac:dyDescent="0.3">
      <c r="B142" s="59" t="str">
        <f>IFERROR(INDEX(FPWA_HelperTable[CFDA], MATCH(DesiredOrd_FPWA[Desired Order], FPWA_HelperTable[Final Sort], 0)), "")</f>
        <v/>
      </c>
      <c r="C142" s="60" t="str">
        <f>IFERROR(INDEX(FPWA_HelperTable[Grant Name], MATCH(B142, FPWA_HelperTable[CFDA], 0)), "")</f>
        <v/>
      </c>
      <c r="D142" s="61" t="str">
        <f>IFERROR(INDEX(FPWA_HelperTable[FY 2018 Total], MATCH(B142, FPWA_HelperTable[CFDA], 0)), "")</f>
        <v/>
      </c>
      <c r="E142" s="62" t="str">
        <f>IFERROR(INDEX(FPWA_HelperTable[President Budget], MATCH(B142, FPWA_HelperTable[CFDA], 0)), "")</f>
        <v/>
      </c>
      <c r="F142" s="61" t="str">
        <f>IFERROR(INDEX(FPWA_HelperTable[President $ Change], MATCH(B142, FPWA_HelperTable[CFDA], 0)), "")</f>
        <v/>
      </c>
    </row>
    <row r="143" spans="2:6" ht="16.5" x14ac:dyDescent="0.3">
      <c r="B143" s="59" t="str">
        <f>IFERROR(INDEX(FPWA_HelperTable[CFDA], MATCH(DesiredOrd_FPWA[Desired Order], FPWA_HelperTable[Final Sort], 0)), "")</f>
        <v/>
      </c>
      <c r="C143" s="60" t="str">
        <f>IFERROR(INDEX(FPWA_HelperTable[Grant Name], MATCH(B143, FPWA_HelperTable[CFDA], 0)), "")</f>
        <v/>
      </c>
      <c r="D143" s="61" t="str">
        <f>IFERROR(INDEX(FPWA_HelperTable[FY 2018 Total], MATCH(B143, FPWA_HelperTable[CFDA], 0)), "")</f>
        <v/>
      </c>
      <c r="E143" s="62" t="str">
        <f>IFERROR(INDEX(FPWA_HelperTable[President Budget], MATCH(B143, FPWA_HelperTable[CFDA], 0)), "")</f>
        <v/>
      </c>
      <c r="F143" s="61" t="str">
        <f>IFERROR(INDEX(FPWA_HelperTable[President $ Change], MATCH(B143, FPWA_HelperTable[CFDA], 0)), "")</f>
        <v/>
      </c>
    </row>
    <row r="144" spans="2:6" ht="16.5" x14ac:dyDescent="0.3">
      <c r="B144" s="59" t="str">
        <f>IFERROR(INDEX(FPWA_HelperTable[CFDA], MATCH(DesiredOrd_FPWA[Desired Order], FPWA_HelperTable[Final Sort], 0)), "")</f>
        <v/>
      </c>
      <c r="C144" s="60" t="str">
        <f>IFERROR(INDEX(FPWA_HelperTable[Grant Name], MATCH(B144, FPWA_HelperTable[CFDA], 0)), "")</f>
        <v/>
      </c>
      <c r="D144" s="61" t="str">
        <f>IFERROR(INDEX(FPWA_HelperTable[FY 2018 Total], MATCH(B144, FPWA_HelperTable[CFDA], 0)), "")</f>
        <v/>
      </c>
      <c r="E144" s="62" t="str">
        <f>IFERROR(INDEX(FPWA_HelperTable[President Budget], MATCH(B144, FPWA_HelperTable[CFDA], 0)), "")</f>
        <v/>
      </c>
      <c r="F144" s="61" t="str">
        <f>IFERROR(INDEX(FPWA_HelperTable[President $ Change], MATCH(B144, FPWA_HelperTable[CFDA], 0)), "")</f>
        <v/>
      </c>
    </row>
    <row r="145" spans="2:6" ht="16.5" x14ac:dyDescent="0.3">
      <c r="B145" s="59" t="str">
        <f>IFERROR(INDEX(FPWA_HelperTable[CFDA], MATCH(DesiredOrd_FPWA[Desired Order], FPWA_HelperTable[Final Sort], 0)), "")</f>
        <v/>
      </c>
      <c r="C145" s="60" t="str">
        <f>IFERROR(INDEX(FPWA_HelperTable[Grant Name], MATCH(B145, FPWA_HelperTable[CFDA], 0)), "")</f>
        <v/>
      </c>
      <c r="D145" s="61" t="str">
        <f>IFERROR(INDEX(FPWA_HelperTable[FY 2018 Total], MATCH(B145, FPWA_HelperTable[CFDA], 0)), "")</f>
        <v/>
      </c>
      <c r="E145" s="62" t="str">
        <f>IFERROR(INDEX(FPWA_HelperTable[President Budget], MATCH(B145, FPWA_HelperTable[CFDA], 0)), "")</f>
        <v/>
      </c>
      <c r="F145" s="61" t="str">
        <f>IFERROR(INDEX(FPWA_HelperTable[President $ Change], MATCH(B145, FPWA_HelperTable[CFDA], 0)), "")</f>
        <v/>
      </c>
    </row>
    <row r="146" spans="2:6" ht="16.5" x14ac:dyDescent="0.3">
      <c r="B146" s="59" t="str">
        <f>IFERROR(INDEX(FPWA_HelperTable[CFDA], MATCH(DesiredOrd_FPWA[Desired Order], FPWA_HelperTable[Final Sort], 0)), "")</f>
        <v/>
      </c>
      <c r="C146" s="60" t="str">
        <f>IFERROR(INDEX(FPWA_HelperTable[Grant Name], MATCH(B146, FPWA_HelperTable[CFDA], 0)), "")</f>
        <v/>
      </c>
      <c r="D146" s="61" t="str">
        <f>IFERROR(INDEX(FPWA_HelperTable[FY 2018 Total], MATCH(B146, FPWA_HelperTable[CFDA], 0)), "")</f>
        <v/>
      </c>
      <c r="E146" s="62" t="str">
        <f>IFERROR(INDEX(FPWA_HelperTable[President Budget], MATCH(B146, FPWA_HelperTable[CFDA], 0)), "")</f>
        <v/>
      </c>
      <c r="F146" s="61" t="str">
        <f>IFERROR(INDEX(FPWA_HelperTable[President $ Change], MATCH(B146, FPWA_HelperTable[CFDA], 0)), "")</f>
        <v/>
      </c>
    </row>
    <row r="147" spans="2:6" ht="16.5" x14ac:dyDescent="0.3">
      <c r="B147" s="59" t="str">
        <f>IFERROR(INDEX(FPWA_HelperTable[CFDA], MATCH(DesiredOrd_FPWA[Desired Order], FPWA_HelperTable[Final Sort], 0)), "")</f>
        <v/>
      </c>
      <c r="C147" s="60" t="str">
        <f>IFERROR(INDEX(FPWA_HelperTable[Grant Name], MATCH(B147, FPWA_HelperTable[CFDA], 0)), "")</f>
        <v/>
      </c>
      <c r="D147" s="61" t="str">
        <f>IFERROR(INDEX(FPWA_HelperTable[FY 2018 Total], MATCH(B147, FPWA_HelperTable[CFDA], 0)), "")</f>
        <v/>
      </c>
      <c r="E147" s="62" t="str">
        <f>IFERROR(INDEX(FPWA_HelperTable[President Budget], MATCH(B147, FPWA_HelperTable[CFDA], 0)), "")</f>
        <v/>
      </c>
      <c r="F147" s="61" t="str">
        <f>IFERROR(INDEX(FPWA_HelperTable[President $ Change], MATCH(B147, FPWA_HelperTable[CFDA], 0)), "")</f>
        <v/>
      </c>
    </row>
    <row r="148" spans="2:6" ht="16.5" x14ac:dyDescent="0.3">
      <c r="B148" s="59" t="str">
        <f>IFERROR(INDEX(FPWA_HelperTable[CFDA], MATCH(DesiredOrd_FPWA[Desired Order], FPWA_HelperTable[Final Sort], 0)), "")</f>
        <v/>
      </c>
      <c r="C148" s="60" t="str">
        <f>IFERROR(INDEX(FPWA_HelperTable[Grant Name], MATCH(B148, FPWA_HelperTable[CFDA], 0)), "")</f>
        <v/>
      </c>
      <c r="D148" s="61" t="str">
        <f>IFERROR(INDEX(FPWA_HelperTable[FY 2018 Total], MATCH(B148, FPWA_HelperTable[CFDA], 0)), "")</f>
        <v/>
      </c>
      <c r="E148" s="62" t="str">
        <f>IFERROR(INDEX(FPWA_HelperTable[President Budget], MATCH(B148, FPWA_HelperTable[CFDA], 0)), "")</f>
        <v/>
      </c>
      <c r="F148" s="61" t="str">
        <f>IFERROR(INDEX(FPWA_HelperTable[President $ Change], MATCH(B148, FPWA_HelperTable[CFDA], 0)), "")</f>
        <v/>
      </c>
    </row>
    <row r="149" spans="2:6" ht="16.5" x14ac:dyDescent="0.3">
      <c r="B149" s="59" t="str">
        <f>IFERROR(INDEX(FPWA_HelperTable[CFDA], MATCH(DesiredOrd_FPWA[Desired Order], FPWA_HelperTable[Final Sort], 0)), "")</f>
        <v/>
      </c>
      <c r="C149" s="60" t="str">
        <f>IFERROR(INDEX(FPWA_HelperTable[Grant Name], MATCH(B149, FPWA_HelperTable[CFDA], 0)), "")</f>
        <v/>
      </c>
      <c r="D149" s="61" t="str">
        <f>IFERROR(INDEX(FPWA_HelperTable[FY 2018 Total], MATCH(B149, FPWA_HelperTable[CFDA], 0)), "")</f>
        <v/>
      </c>
      <c r="E149" s="62" t="str">
        <f>IFERROR(INDEX(FPWA_HelperTable[President Budget], MATCH(B149, FPWA_HelperTable[CFDA], 0)), "")</f>
        <v/>
      </c>
      <c r="F149" s="61" t="str">
        <f>IFERROR(INDEX(FPWA_HelperTable[President $ Change], MATCH(B149, FPWA_HelperTable[CFDA], 0)), "")</f>
        <v/>
      </c>
    </row>
    <row r="150" spans="2:6" ht="16.5" x14ac:dyDescent="0.3">
      <c r="B150" s="59" t="str">
        <f>IFERROR(INDEX(FPWA_HelperTable[CFDA], MATCH(DesiredOrd_FPWA[Desired Order], FPWA_HelperTable[Final Sort], 0)), "")</f>
        <v/>
      </c>
      <c r="C150" s="60" t="str">
        <f>IFERROR(INDEX(FPWA_HelperTable[Grant Name], MATCH(B150, FPWA_HelperTable[CFDA], 0)), "")</f>
        <v/>
      </c>
      <c r="D150" s="61" t="str">
        <f>IFERROR(INDEX(FPWA_HelperTable[FY 2018 Total], MATCH(B150, FPWA_HelperTable[CFDA], 0)), "")</f>
        <v/>
      </c>
      <c r="E150" s="62" t="str">
        <f>IFERROR(INDEX(FPWA_HelperTable[President Budget], MATCH(B150, FPWA_HelperTable[CFDA], 0)), "")</f>
        <v/>
      </c>
      <c r="F150" s="61" t="str">
        <f>IFERROR(INDEX(FPWA_HelperTable[President $ Change], MATCH(B150, FPWA_HelperTable[CFDA], 0)), "")</f>
        <v/>
      </c>
    </row>
    <row r="151" spans="2:6" ht="16.5" x14ac:dyDescent="0.3">
      <c r="B151" s="59" t="str">
        <f>IFERROR(INDEX(FPWA_HelperTable[CFDA], MATCH(DesiredOrd_FPWA[Desired Order], FPWA_HelperTable[Final Sort], 0)), "")</f>
        <v/>
      </c>
      <c r="C151" s="60" t="str">
        <f>IFERROR(INDEX(FPWA_HelperTable[Grant Name], MATCH(B151, FPWA_HelperTable[CFDA], 0)), "")</f>
        <v/>
      </c>
      <c r="D151" s="61" t="str">
        <f>IFERROR(INDEX(FPWA_HelperTable[FY 2018 Total], MATCH(B151, FPWA_HelperTable[CFDA], 0)), "")</f>
        <v/>
      </c>
      <c r="E151" s="62" t="str">
        <f>IFERROR(INDEX(FPWA_HelperTable[President Budget], MATCH(B151, FPWA_HelperTable[CFDA], 0)), "")</f>
        <v/>
      </c>
      <c r="F151" s="61" t="str">
        <f>IFERROR(INDEX(FPWA_HelperTable[President $ Change], MATCH(B151, FPWA_HelperTable[CFDA], 0)), "")</f>
        <v/>
      </c>
    </row>
    <row r="152" spans="2:6" ht="16.5" x14ac:dyDescent="0.3">
      <c r="B152" s="59" t="str">
        <f>IFERROR(INDEX(FPWA_HelperTable[CFDA], MATCH(DesiredOrd_FPWA[Desired Order], FPWA_HelperTable[Final Sort], 0)), "")</f>
        <v/>
      </c>
      <c r="C152" s="60" t="str">
        <f>IFERROR(INDEX(FPWA_HelperTable[Grant Name], MATCH(B152, FPWA_HelperTable[CFDA], 0)), "")</f>
        <v/>
      </c>
      <c r="D152" s="61" t="str">
        <f>IFERROR(INDEX(FPWA_HelperTable[FY 2018 Total], MATCH(B152, FPWA_HelperTable[CFDA], 0)), "")</f>
        <v/>
      </c>
      <c r="E152" s="62" t="str">
        <f>IFERROR(INDEX(FPWA_HelperTable[President Budget], MATCH(B152, FPWA_HelperTable[CFDA], 0)), "")</f>
        <v/>
      </c>
      <c r="F152" s="61" t="str">
        <f>IFERROR(INDEX(FPWA_HelperTable[President $ Change], MATCH(B152, FPWA_HelperTable[CFDA], 0)), "")</f>
        <v/>
      </c>
    </row>
    <row r="153" spans="2:6" ht="16.5" x14ac:dyDescent="0.3">
      <c r="B153" s="59" t="str">
        <f>IFERROR(INDEX(FPWA_HelperTable[CFDA], MATCH(DesiredOrd_FPWA[Desired Order], FPWA_HelperTable[Final Sort], 0)), "")</f>
        <v/>
      </c>
      <c r="C153" s="60" t="str">
        <f>IFERROR(INDEX(FPWA_HelperTable[Grant Name], MATCH(B153, FPWA_HelperTable[CFDA], 0)), "")</f>
        <v/>
      </c>
      <c r="D153" s="61" t="str">
        <f>IFERROR(INDEX(FPWA_HelperTable[FY 2018 Total], MATCH(B153, FPWA_HelperTable[CFDA], 0)), "")</f>
        <v/>
      </c>
      <c r="E153" s="62" t="str">
        <f>IFERROR(INDEX(FPWA_HelperTable[President Budget], MATCH(B153, FPWA_HelperTable[CFDA], 0)), "")</f>
        <v/>
      </c>
      <c r="F153" s="61" t="str">
        <f>IFERROR(INDEX(FPWA_HelperTable[President $ Change], MATCH(B153, FPWA_HelperTable[CFDA], 0)), "")</f>
        <v/>
      </c>
    </row>
    <row r="154" spans="2:6" ht="16.5" x14ac:dyDescent="0.3">
      <c r="B154" s="59" t="str">
        <f>IFERROR(INDEX(FPWA_HelperTable[CFDA], MATCH(DesiredOrd_FPWA[Desired Order], FPWA_HelperTable[Final Sort], 0)), "")</f>
        <v/>
      </c>
      <c r="C154" s="60" t="str">
        <f>IFERROR(INDEX(FPWA_HelperTable[Grant Name], MATCH(B154, FPWA_HelperTable[CFDA], 0)), "")</f>
        <v/>
      </c>
      <c r="D154" s="61" t="str">
        <f>IFERROR(INDEX(FPWA_HelperTable[FY 2018 Total], MATCH(B154, FPWA_HelperTable[CFDA], 0)), "")</f>
        <v/>
      </c>
      <c r="E154" s="62" t="str">
        <f>IFERROR(INDEX(FPWA_HelperTable[President Budget], MATCH(B154, FPWA_HelperTable[CFDA], 0)), "")</f>
        <v/>
      </c>
      <c r="F154" s="61" t="str">
        <f>IFERROR(INDEX(FPWA_HelperTable[President $ Change], MATCH(B154, FPWA_HelperTable[CFDA], 0)), "")</f>
        <v/>
      </c>
    </row>
    <row r="155" spans="2:6" ht="16.5" x14ac:dyDescent="0.3">
      <c r="B155" s="59" t="str">
        <f>IFERROR(INDEX(FPWA_HelperTable[CFDA], MATCH(DesiredOrd_FPWA[Desired Order], FPWA_HelperTable[Final Sort], 0)), "")</f>
        <v/>
      </c>
      <c r="C155" s="60" t="str">
        <f>IFERROR(INDEX(FPWA_HelperTable[Grant Name], MATCH(B155, FPWA_HelperTable[CFDA], 0)), "")</f>
        <v/>
      </c>
      <c r="D155" s="61" t="str">
        <f>IFERROR(INDEX(FPWA_HelperTable[FY 2018 Total], MATCH(B155, FPWA_HelperTable[CFDA], 0)), "")</f>
        <v/>
      </c>
      <c r="E155" s="62" t="str">
        <f>IFERROR(INDEX(FPWA_HelperTable[President Budget], MATCH(B155, FPWA_HelperTable[CFDA], 0)), "")</f>
        <v/>
      </c>
      <c r="F155" s="61" t="str">
        <f>IFERROR(INDEX(FPWA_HelperTable[President $ Change], MATCH(B155, FPWA_HelperTable[CFDA], 0)), "")</f>
        <v/>
      </c>
    </row>
    <row r="156" spans="2:6" ht="16.5" x14ac:dyDescent="0.3">
      <c r="B156" s="59" t="str">
        <f>IFERROR(INDEX(FPWA_HelperTable[CFDA], MATCH(DesiredOrd_FPWA[Desired Order], FPWA_HelperTable[Final Sort], 0)), "")</f>
        <v/>
      </c>
      <c r="C156" s="60" t="str">
        <f>IFERROR(INDEX(FPWA_HelperTable[Grant Name], MATCH(B156, FPWA_HelperTable[CFDA], 0)), "")</f>
        <v/>
      </c>
      <c r="D156" s="61" t="str">
        <f>IFERROR(INDEX(FPWA_HelperTable[FY 2018 Total], MATCH(B156, FPWA_HelperTable[CFDA], 0)), "")</f>
        <v/>
      </c>
      <c r="E156" s="62" t="str">
        <f>IFERROR(INDEX(FPWA_HelperTable[President Budget], MATCH(B156, FPWA_HelperTable[CFDA], 0)), "")</f>
        <v/>
      </c>
      <c r="F156" s="61" t="str">
        <f>IFERROR(INDEX(FPWA_HelperTable[President $ Change], MATCH(B156, FPWA_HelperTable[CFDA], 0)), "")</f>
        <v/>
      </c>
    </row>
    <row r="157" spans="2:6" ht="16.5" x14ac:dyDescent="0.3">
      <c r="B157" s="59" t="str">
        <f>IFERROR(INDEX(FPWA_HelperTable[CFDA], MATCH(DesiredOrd_FPWA[Desired Order], FPWA_HelperTable[Final Sort], 0)), "")</f>
        <v/>
      </c>
      <c r="C157" s="60" t="str">
        <f>IFERROR(INDEX(FPWA_HelperTable[Grant Name], MATCH(B157, FPWA_HelperTable[CFDA], 0)), "")</f>
        <v/>
      </c>
      <c r="D157" s="61" t="str">
        <f>IFERROR(INDEX(FPWA_HelperTable[FY 2018 Total], MATCH(B157, FPWA_HelperTable[CFDA], 0)), "")</f>
        <v/>
      </c>
      <c r="E157" s="62" t="str">
        <f>IFERROR(INDEX(FPWA_HelperTable[President Budget], MATCH(B157, FPWA_HelperTable[CFDA], 0)), "")</f>
        <v/>
      </c>
      <c r="F157" s="61" t="str">
        <f>IFERROR(INDEX(FPWA_HelperTable[President $ Change], MATCH(B157, FPWA_HelperTable[CFDA], 0)), "")</f>
        <v/>
      </c>
    </row>
    <row r="158" spans="2:6" ht="16.5" x14ac:dyDescent="0.3">
      <c r="B158" s="59" t="str">
        <f>IFERROR(INDEX(FPWA_HelperTable[CFDA], MATCH(DesiredOrd_FPWA[Desired Order], FPWA_HelperTable[Final Sort], 0)), "")</f>
        <v/>
      </c>
      <c r="C158" s="60" t="str">
        <f>IFERROR(INDEX(FPWA_HelperTable[Grant Name], MATCH(B158, FPWA_HelperTable[CFDA], 0)), "")</f>
        <v/>
      </c>
      <c r="D158" s="61" t="str">
        <f>IFERROR(INDEX(FPWA_HelperTable[FY 2018 Total], MATCH(B158, FPWA_HelperTable[CFDA], 0)), "")</f>
        <v/>
      </c>
      <c r="E158" s="62" t="str">
        <f>IFERROR(INDEX(FPWA_HelperTable[President Budget], MATCH(B158, FPWA_HelperTable[CFDA], 0)), "")</f>
        <v/>
      </c>
      <c r="F158" s="61" t="str">
        <f>IFERROR(INDEX(FPWA_HelperTable[President $ Change], MATCH(B158, FPWA_HelperTable[CFDA], 0)), "")</f>
        <v/>
      </c>
    </row>
    <row r="159" spans="2:6" ht="16.5" x14ac:dyDescent="0.3">
      <c r="B159" s="59" t="str">
        <f>IFERROR(INDEX(FPWA_HelperTable[CFDA], MATCH(DesiredOrd_FPWA[Desired Order], FPWA_HelperTable[Final Sort], 0)), "")</f>
        <v/>
      </c>
      <c r="C159" s="60" t="str">
        <f>IFERROR(INDEX(FPWA_HelperTable[Grant Name], MATCH(B159, FPWA_HelperTable[CFDA], 0)), "")</f>
        <v/>
      </c>
      <c r="D159" s="61" t="str">
        <f>IFERROR(INDEX(FPWA_HelperTable[FY 2018 Total], MATCH(B159, FPWA_HelperTable[CFDA], 0)), "")</f>
        <v/>
      </c>
      <c r="E159" s="62" t="str">
        <f>IFERROR(INDEX(FPWA_HelperTable[President Budget], MATCH(B159, FPWA_HelperTable[CFDA], 0)), "")</f>
        <v/>
      </c>
      <c r="F159" s="61" t="str">
        <f>IFERROR(INDEX(FPWA_HelperTable[President $ Change], MATCH(B159, FPWA_HelperTable[CFDA], 0)), "")</f>
        <v/>
      </c>
    </row>
    <row r="160" spans="2:6" ht="16.5" x14ac:dyDescent="0.3">
      <c r="B160" s="59" t="str">
        <f>IFERROR(INDEX(FPWA_HelperTable[CFDA], MATCH(DesiredOrd_FPWA[Desired Order], FPWA_HelperTable[Final Sort], 0)), "")</f>
        <v/>
      </c>
      <c r="C160" s="60" t="str">
        <f>IFERROR(INDEX(FPWA_HelperTable[Grant Name], MATCH(B160, FPWA_HelperTable[CFDA], 0)), "")</f>
        <v/>
      </c>
      <c r="D160" s="61" t="str">
        <f>IFERROR(INDEX(FPWA_HelperTable[FY 2018 Total], MATCH(B160, FPWA_HelperTable[CFDA], 0)), "")</f>
        <v/>
      </c>
      <c r="E160" s="62" t="str">
        <f>IFERROR(INDEX(FPWA_HelperTable[President Budget], MATCH(B160, FPWA_HelperTable[CFDA], 0)), "")</f>
        <v/>
      </c>
      <c r="F160" s="61" t="str">
        <f>IFERROR(INDEX(FPWA_HelperTable[President $ Change], MATCH(B160, FPWA_HelperTable[CFDA], 0)), "")</f>
        <v/>
      </c>
    </row>
    <row r="161" spans="2:6" ht="16.5" x14ac:dyDescent="0.3">
      <c r="B161" s="59" t="str">
        <f>IFERROR(INDEX(FPWA_HelperTable[CFDA], MATCH(DesiredOrd_FPWA[Desired Order], FPWA_HelperTable[Final Sort], 0)), "")</f>
        <v/>
      </c>
      <c r="C161" s="60" t="str">
        <f>IFERROR(INDEX(FPWA_HelperTable[Grant Name], MATCH(B161, FPWA_HelperTable[CFDA], 0)), "")</f>
        <v/>
      </c>
      <c r="D161" s="61" t="str">
        <f>IFERROR(INDEX(FPWA_HelperTable[FY 2018 Total], MATCH(B161, FPWA_HelperTable[CFDA], 0)), "")</f>
        <v/>
      </c>
      <c r="E161" s="62" t="str">
        <f>IFERROR(INDEX(FPWA_HelperTable[President Budget], MATCH(B161, FPWA_HelperTable[CFDA], 0)), "")</f>
        <v/>
      </c>
      <c r="F161" s="61" t="str">
        <f>IFERROR(INDEX(FPWA_HelperTable[President $ Change], MATCH(B161, FPWA_HelperTable[CFDA], 0)), "")</f>
        <v/>
      </c>
    </row>
    <row r="162" spans="2:6" ht="16.5" x14ac:dyDescent="0.3">
      <c r="B162" s="59" t="str">
        <f>IFERROR(INDEX(FPWA_HelperTable[CFDA], MATCH(DesiredOrd_FPWA[Desired Order], FPWA_HelperTable[Final Sort], 0)), "")</f>
        <v/>
      </c>
      <c r="C162" s="60" t="str">
        <f>IFERROR(INDEX(FPWA_HelperTable[Grant Name], MATCH(B162, FPWA_HelperTable[CFDA], 0)), "")</f>
        <v/>
      </c>
      <c r="D162" s="61" t="str">
        <f>IFERROR(INDEX(FPWA_HelperTable[FY 2018 Total], MATCH(B162, FPWA_HelperTable[CFDA], 0)), "")</f>
        <v/>
      </c>
      <c r="E162" s="62" t="str">
        <f>IFERROR(INDEX(FPWA_HelperTable[President Budget], MATCH(B162, FPWA_HelperTable[CFDA], 0)), "")</f>
        <v/>
      </c>
      <c r="F162" s="61" t="str">
        <f>IFERROR(INDEX(FPWA_HelperTable[President $ Change], MATCH(B162, FPWA_HelperTable[CFDA], 0)), "")</f>
        <v/>
      </c>
    </row>
    <row r="163" spans="2:6" ht="16.5" x14ac:dyDescent="0.3">
      <c r="B163" s="59" t="str">
        <f>IFERROR(INDEX(FPWA_HelperTable[CFDA], MATCH(DesiredOrd_FPWA[Desired Order], FPWA_HelperTable[Final Sort], 0)), "")</f>
        <v/>
      </c>
      <c r="C163" s="60" t="str">
        <f>IFERROR(INDEX(FPWA_HelperTable[Grant Name], MATCH(B163, FPWA_HelperTable[CFDA], 0)), "")</f>
        <v/>
      </c>
      <c r="D163" s="61" t="str">
        <f>IFERROR(INDEX(FPWA_HelperTable[FY 2018 Total], MATCH(B163, FPWA_HelperTable[CFDA], 0)), "")</f>
        <v/>
      </c>
      <c r="E163" s="62" t="str">
        <f>IFERROR(INDEX(FPWA_HelperTable[President Budget], MATCH(B163, FPWA_HelperTable[CFDA], 0)), "")</f>
        <v/>
      </c>
      <c r="F163" s="61" t="str">
        <f>IFERROR(INDEX(FPWA_HelperTable[President $ Change], MATCH(B163, FPWA_HelperTable[CFDA], 0)), "")</f>
        <v/>
      </c>
    </row>
    <row r="164" spans="2:6" ht="16.5" x14ac:dyDescent="0.3">
      <c r="B164" s="59" t="str">
        <f>IFERROR(INDEX(FPWA_HelperTable[CFDA], MATCH(DesiredOrd_FPWA[Desired Order], FPWA_HelperTable[Final Sort], 0)), "")</f>
        <v/>
      </c>
      <c r="C164" s="60" t="str">
        <f>IFERROR(INDEX(FPWA_HelperTable[Grant Name], MATCH(B164, FPWA_HelperTable[CFDA], 0)), "")</f>
        <v/>
      </c>
      <c r="D164" s="61" t="str">
        <f>IFERROR(INDEX(FPWA_HelperTable[FY 2018 Total], MATCH(B164, FPWA_HelperTable[CFDA], 0)), "")</f>
        <v/>
      </c>
      <c r="E164" s="62" t="str">
        <f>IFERROR(INDEX(FPWA_HelperTable[President Budget], MATCH(B164, FPWA_HelperTable[CFDA], 0)), "")</f>
        <v/>
      </c>
      <c r="F164" s="61" t="str">
        <f>IFERROR(INDEX(FPWA_HelperTable[President $ Change], MATCH(B164, FPWA_HelperTable[CFDA], 0)), "")</f>
        <v/>
      </c>
    </row>
    <row r="165" spans="2:6" ht="16.5" x14ac:dyDescent="0.3">
      <c r="B165" s="59" t="str">
        <f>IFERROR(INDEX(FPWA_HelperTable[CFDA], MATCH(DesiredOrd_FPWA[Desired Order], FPWA_HelperTable[Final Sort], 0)), "")</f>
        <v/>
      </c>
      <c r="C165" s="60" t="str">
        <f>IFERROR(INDEX(FPWA_HelperTable[Grant Name], MATCH(B165, FPWA_HelperTable[CFDA], 0)), "")</f>
        <v/>
      </c>
      <c r="D165" s="61" t="str">
        <f>IFERROR(INDEX(FPWA_HelperTable[FY 2018 Total], MATCH(B165, FPWA_HelperTable[CFDA], 0)), "")</f>
        <v/>
      </c>
      <c r="E165" s="62" t="str">
        <f>IFERROR(INDEX(FPWA_HelperTable[President Budget], MATCH(B165, FPWA_HelperTable[CFDA], 0)), "")</f>
        <v/>
      </c>
      <c r="F165" s="61" t="str">
        <f>IFERROR(INDEX(FPWA_HelperTable[President $ Change], MATCH(B165, FPWA_HelperTable[CFDA], 0)), "")</f>
        <v/>
      </c>
    </row>
    <row r="166" spans="2:6" ht="16.5" x14ac:dyDescent="0.3">
      <c r="B166" s="59" t="str">
        <f>IFERROR(INDEX(FPWA_HelperTable[CFDA], MATCH(DesiredOrd_FPWA[Desired Order], FPWA_HelperTable[Final Sort], 0)), "")</f>
        <v/>
      </c>
      <c r="C166" s="60" t="str">
        <f>IFERROR(INDEX(FPWA_HelperTable[Grant Name], MATCH(B166, FPWA_HelperTable[CFDA], 0)), "")</f>
        <v/>
      </c>
      <c r="D166" s="61" t="str">
        <f>IFERROR(INDEX(FPWA_HelperTable[FY 2018 Total], MATCH(B166, FPWA_HelperTable[CFDA], 0)), "")</f>
        <v/>
      </c>
      <c r="E166" s="62" t="str">
        <f>IFERROR(INDEX(FPWA_HelperTable[President Budget], MATCH(B166, FPWA_HelperTable[CFDA], 0)), "")</f>
        <v/>
      </c>
      <c r="F166" s="61" t="str">
        <f>IFERROR(INDEX(FPWA_HelperTable[President $ Change], MATCH(B166, FPWA_HelperTable[CFDA], 0)), "")</f>
        <v/>
      </c>
    </row>
    <row r="167" spans="2:6" ht="16.5" x14ac:dyDescent="0.3">
      <c r="B167" s="59" t="str">
        <f>IFERROR(INDEX(FPWA_HelperTable[CFDA], MATCH(DesiredOrd_FPWA[Desired Order], FPWA_HelperTable[Final Sort], 0)), "")</f>
        <v/>
      </c>
      <c r="C167" s="60" t="str">
        <f>IFERROR(INDEX(FPWA_HelperTable[Grant Name], MATCH(B167, FPWA_HelperTable[CFDA], 0)), "")</f>
        <v/>
      </c>
      <c r="D167" s="61" t="str">
        <f>IFERROR(INDEX(FPWA_HelperTable[FY 2018 Total], MATCH(B167, FPWA_HelperTable[CFDA], 0)), "")</f>
        <v/>
      </c>
      <c r="E167" s="62" t="str">
        <f>IFERROR(INDEX(FPWA_HelperTable[President Budget], MATCH(B167, FPWA_HelperTable[CFDA], 0)), "")</f>
        <v/>
      </c>
      <c r="F167" s="61" t="str">
        <f>IFERROR(INDEX(FPWA_HelperTable[President $ Change], MATCH(B167, FPWA_HelperTable[CFDA], 0)), "")</f>
        <v/>
      </c>
    </row>
    <row r="168" spans="2:6" ht="16.5" x14ac:dyDescent="0.3">
      <c r="B168" s="59" t="str">
        <f>IFERROR(INDEX(FPWA_HelperTable[CFDA], MATCH(DesiredOrd_FPWA[Desired Order], FPWA_HelperTable[Final Sort], 0)), "")</f>
        <v/>
      </c>
      <c r="C168" s="60" t="str">
        <f>IFERROR(INDEX(FPWA_HelperTable[Grant Name], MATCH(B168, FPWA_HelperTable[CFDA], 0)), "")</f>
        <v/>
      </c>
      <c r="D168" s="61" t="str">
        <f>IFERROR(INDEX(FPWA_HelperTable[FY 2018 Total], MATCH(B168, FPWA_HelperTable[CFDA], 0)), "")</f>
        <v/>
      </c>
      <c r="E168" s="62" t="str">
        <f>IFERROR(INDEX(FPWA_HelperTable[President Budget], MATCH(B168, FPWA_HelperTable[CFDA], 0)), "")</f>
        <v/>
      </c>
      <c r="F168" s="61" t="str">
        <f>IFERROR(INDEX(FPWA_HelperTable[President $ Change], MATCH(B168, FPWA_HelperTable[CFDA], 0)), "")</f>
        <v/>
      </c>
    </row>
    <row r="169" spans="2:6" ht="16.5" x14ac:dyDescent="0.3">
      <c r="B169" s="59" t="str">
        <f>IFERROR(INDEX(FPWA_HelperTable[CFDA], MATCH(DesiredOrd_FPWA[Desired Order], FPWA_HelperTable[Final Sort], 0)), "")</f>
        <v/>
      </c>
      <c r="C169" s="60" t="str">
        <f>IFERROR(INDEX(FPWA_HelperTable[Grant Name], MATCH(B169, FPWA_HelperTable[CFDA], 0)), "")</f>
        <v/>
      </c>
      <c r="D169" s="61" t="str">
        <f>IFERROR(INDEX(FPWA_HelperTable[FY 2018 Total], MATCH(B169, FPWA_HelperTable[CFDA], 0)), "")</f>
        <v/>
      </c>
      <c r="E169" s="62" t="str">
        <f>IFERROR(INDEX(FPWA_HelperTable[President Budget], MATCH(B169, FPWA_HelperTable[CFDA], 0)), "")</f>
        <v/>
      </c>
      <c r="F169" s="61" t="str">
        <f>IFERROR(INDEX(FPWA_HelperTable[President $ Change], MATCH(B169, FPWA_HelperTable[CFDA], 0)), "")</f>
        <v/>
      </c>
    </row>
    <row r="170" spans="2:6" ht="16.5" x14ac:dyDescent="0.3">
      <c r="B170" s="59" t="str">
        <f>IFERROR(INDEX(FPWA_HelperTable[CFDA], MATCH(DesiredOrd_FPWA[Desired Order], FPWA_HelperTable[Final Sort], 0)), "")</f>
        <v/>
      </c>
      <c r="C170" s="60" t="str">
        <f>IFERROR(INDEX(FPWA_HelperTable[Grant Name], MATCH(B170, FPWA_HelperTable[CFDA], 0)), "")</f>
        <v/>
      </c>
      <c r="D170" s="61" t="str">
        <f>IFERROR(INDEX(FPWA_HelperTable[FY 2018 Total], MATCH(B170, FPWA_HelperTable[CFDA], 0)), "")</f>
        <v/>
      </c>
      <c r="E170" s="62" t="str">
        <f>IFERROR(INDEX(FPWA_HelperTable[President Budget], MATCH(B170, FPWA_HelperTable[CFDA], 0)), "")</f>
        <v/>
      </c>
      <c r="F170" s="61" t="str">
        <f>IFERROR(INDEX(FPWA_HelperTable[President $ Change], MATCH(B170, FPWA_HelperTable[CFDA], 0)), "")</f>
        <v/>
      </c>
    </row>
    <row r="171" spans="2:6" ht="16.5" x14ac:dyDescent="0.3">
      <c r="B171" s="59" t="str">
        <f>IFERROR(INDEX(FPWA_HelperTable[CFDA], MATCH(DesiredOrd_FPWA[Desired Order], FPWA_HelperTable[Final Sort], 0)), "")</f>
        <v/>
      </c>
      <c r="C171" s="60" t="str">
        <f>IFERROR(INDEX(FPWA_HelperTable[Grant Name], MATCH(B171, FPWA_HelperTable[CFDA], 0)), "")</f>
        <v/>
      </c>
      <c r="D171" s="61" t="str">
        <f>IFERROR(INDEX(FPWA_HelperTable[FY 2018 Total], MATCH(B171, FPWA_HelperTable[CFDA], 0)), "")</f>
        <v/>
      </c>
      <c r="E171" s="62" t="str">
        <f>IFERROR(INDEX(FPWA_HelperTable[President Budget], MATCH(B171, FPWA_HelperTable[CFDA], 0)), "")</f>
        <v/>
      </c>
      <c r="F171" s="61" t="str">
        <f>IFERROR(INDEX(FPWA_HelperTable[President $ Change], MATCH(B171, FPWA_HelperTable[CFDA], 0)), "")</f>
        <v/>
      </c>
    </row>
    <row r="172" spans="2:6" ht="16.5" x14ac:dyDescent="0.3">
      <c r="B172" s="59" t="str">
        <f>IFERROR(INDEX(FPWA_HelperTable[CFDA], MATCH(DesiredOrd_FPWA[Desired Order], FPWA_HelperTable[Final Sort], 0)), "")</f>
        <v/>
      </c>
      <c r="C172" s="60" t="str">
        <f>IFERROR(INDEX(FPWA_HelperTable[Grant Name], MATCH(B172, FPWA_HelperTable[CFDA], 0)), "")</f>
        <v/>
      </c>
      <c r="D172" s="61" t="str">
        <f>IFERROR(INDEX(FPWA_HelperTable[FY 2018 Total], MATCH(B172, FPWA_HelperTable[CFDA], 0)), "")</f>
        <v/>
      </c>
      <c r="E172" s="62" t="str">
        <f>IFERROR(INDEX(FPWA_HelperTable[President Budget], MATCH(B172, FPWA_HelperTable[CFDA], 0)), "")</f>
        <v/>
      </c>
      <c r="F172" s="61" t="str">
        <f>IFERROR(INDEX(FPWA_HelperTable[President $ Change], MATCH(B172, FPWA_HelperTable[CFDA], 0)), "")</f>
        <v/>
      </c>
    </row>
    <row r="173" spans="2:6" ht="16.5" x14ac:dyDescent="0.3">
      <c r="B173" s="59" t="str">
        <f>IFERROR(INDEX(FPWA_HelperTable[CFDA], MATCH(DesiredOrd_FPWA[Desired Order], FPWA_HelperTable[Final Sort], 0)), "")</f>
        <v/>
      </c>
      <c r="C173" s="60" t="str">
        <f>IFERROR(INDEX(FPWA_HelperTable[Grant Name], MATCH(B173, FPWA_HelperTable[CFDA], 0)), "")</f>
        <v/>
      </c>
      <c r="D173" s="61" t="str">
        <f>IFERROR(INDEX(FPWA_HelperTable[FY 2018 Total], MATCH(B173, FPWA_HelperTable[CFDA], 0)), "")</f>
        <v/>
      </c>
      <c r="E173" s="62" t="str">
        <f>IFERROR(INDEX(FPWA_HelperTable[President Budget], MATCH(B173, FPWA_HelperTable[CFDA], 0)), "")</f>
        <v/>
      </c>
      <c r="F173" s="61" t="str">
        <f>IFERROR(INDEX(FPWA_HelperTable[President $ Change], MATCH(B173, FPWA_HelperTable[CFDA], 0)), "")</f>
        <v/>
      </c>
    </row>
    <row r="174" spans="2:6" ht="16.5" x14ac:dyDescent="0.3">
      <c r="B174" s="59" t="str">
        <f>IFERROR(INDEX(FPWA_HelperTable[CFDA], MATCH(DesiredOrd_FPWA[Desired Order], FPWA_HelperTable[Final Sort], 0)), "")</f>
        <v/>
      </c>
      <c r="C174" s="60" t="str">
        <f>IFERROR(INDEX(FPWA_HelperTable[Grant Name], MATCH(B174, FPWA_HelperTable[CFDA], 0)), "")</f>
        <v/>
      </c>
      <c r="D174" s="61" t="str">
        <f>IFERROR(INDEX(FPWA_HelperTable[FY 2018 Total], MATCH(B174, FPWA_HelperTable[CFDA], 0)), "")</f>
        <v/>
      </c>
      <c r="E174" s="62" t="str">
        <f>IFERROR(INDEX(FPWA_HelperTable[President Budget], MATCH(B174, FPWA_HelperTable[CFDA], 0)), "")</f>
        <v/>
      </c>
      <c r="F174" s="61" t="str">
        <f>IFERROR(INDEX(FPWA_HelperTable[President $ Change], MATCH(B174, FPWA_HelperTable[CFDA], 0)), "")</f>
        <v/>
      </c>
    </row>
    <row r="175" spans="2:6" ht="16.5" x14ac:dyDescent="0.3">
      <c r="B175" s="59" t="str">
        <f>IFERROR(INDEX(FPWA_HelperTable[CFDA], MATCH(DesiredOrd_FPWA[Desired Order], FPWA_HelperTable[Final Sort], 0)), "")</f>
        <v/>
      </c>
      <c r="C175" s="60" t="str">
        <f>IFERROR(INDEX(FPWA_HelperTable[Grant Name], MATCH(B175, FPWA_HelperTable[CFDA], 0)), "")</f>
        <v/>
      </c>
      <c r="D175" s="61" t="str">
        <f>IFERROR(INDEX(FPWA_HelperTable[FY 2018 Total], MATCH(B175, FPWA_HelperTable[CFDA], 0)), "")</f>
        <v/>
      </c>
      <c r="E175" s="62" t="str">
        <f>IFERROR(INDEX(FPWA_HelperTable[President Budget], MATCH(B175, FPWA_HelperTable[CFDA], 0)), "")</f>
        <v/>
      </c>
      <c r="F175" s="61" t="str">
        <f>IFERROR(INDEX(FPWA_HelperTable[President $ Change], MATCH(B175, FPWA_HelperTable[CFDA], 0)), "")</f>
        <v/>
      </c>
    </row>
    <row r="176" spans="2:6" ht="16.5" x14ac:dyDescent="0.3">
      <c r="B176" s="59" t="str">
        <f>IFERROR(INDEX(FPWA_HelperTable[CFDA], MATCH(DesiredOrd_FPWA[Desired Order], FPWA_HelperTable[Final Sort], 0)), "")</f>
        <v/>
      </c>
      <c r="C176" s="60" t="str">
        <f>IFERROR(INDEX(FPWA_HelperTable[Grant Name], MATCH(B176, FPWA_HelperTable[CFDA], 0)), "")</f>
        <v/>
      </c>
      <c r="D176" s="61" t="str">
        <f>IFERROR(INDEX(FPWA_HelperTable[FY 2018 Total], MATCH(B176, FPWA_HelperTable[CFDA], 0)), "")</f>
        <v/>
      </c>
      <c r="E176" s="62" t="str">
        <f>IFERROR(INDEX(FPWA_HelperTable[President Budget], MATCH(B176, FPWA_HelperTable[CFDA], 0)), "")</f>
        <v/>
      </c>
      <c r="F176" s="61" t="str">
        <f>IFERROR(INDEX(FPWA_HelperTable[President $ Change], MATCH(B176, FPWA_HelperTable[CFDA], 0)), "")</f>
        <v/>
      </c>
    </row>
    <row r="177" spans="2:6" ht="16.5" x14ac:dyDescent="0.3">
      <c r="B177" s="59" t="str">
        <f>IFERROR(INDEX(FPWA_HelperTable[CFDA], MATCH(DesiredOrd_FPWA[Desired Order], FPWA_HelperTable[Final Sort], 0)), "")</f>
        <v/>
      </c>
      <c r="C177" s="60" t="str">
        <f>IFERROR(INDEX(FPWA_HelperTable[Grant Name], MATCH(B177, FPWA_HelperTable[CFDA], 0)), "")</f>
        <v/>
      </c>
      <c r="D177" s="61" t="str">
        <f>IFERROR(INDEX(FPWA_HelperTable[FY 2018 Total], MATCH(B177, FPWA_HelperTable[CFDA], 0)), "")</f>
        <v/>
      </c>
      <c r="E177" s="62" t="str">
        <f>IFERROR(INDEX(FPWA_HelperTable[President Budget], MATCH(B177, FPWA_HelperTable[CFDA], 0)), "")</f>
        <v/>
      </c>
      <c r="F177" s="61" t="str">
        <f>IFERROR(INDEX(FPWA_HelperTable[President $ Change], MATCH(B177, FPWA_HelperTable[CFDA], 0)), "")</f>
        <v/>
      </c>
    </row>
    <row r="178" spans="2:6" ht="16.5" x14ac:dyDescent="0.3">
      <c r="B178" s="59" t="str">
        <f>IFERROR(INDEX(FPWA_HelperTable[CFDA], MATCH(DesiredOrd_FPWA[Desired Order], FPWA_HelperTable[Final Sort], 0)), "")</f>
        <v/>
      </c>
      <c r="C178" s="60" t="str">
        <f>IFERROR(INDEX(FPWA_HelperTable[Grant Name], MATCH(B178, FPWA_HelperTable[CFDA], 0)), "")</f>
        <v/>
      </c>
      <c r="D178" s="61" t="str">
        <f>IFERROR(INDEX(FPWA_HelperTable[FY 2018 Total], MATCH(B178, FPWA_HelperTable[CFDA], 0)), "")</f>
        <v/>
      </c>
      <c r="E178" s="62" t="str">
        <f>IFERROR(INDEX(FPWA_HelperTable[President Budget], MATCH(B178, FPWA_HelperTable[CFDA], 0)), "")</f>
        <v/>
      </c>
      <c r="F178" s="61" t="str">
        <f>IFERROR(INDEX(FPWA_HelperTable[President $ Change], MATCH(B178, FPWA_HelperTable[CFDA], 0)), "")</f>
        <v/>
      </c>
    </row>
    <row r="179" spans="2:6" ht="16.5" x14ac:dyDescent="0.3">
      <c r="B179" s="59" t="str">
        <f>IFERROR(INDEX(FPWA_HelperTable[CFDA], MATCH(DesiredOrd_FPWA[Desired Order], FPWA_HelperTable[Final Sort], 0)), "")</f>
        <v/>
      </c>
      <c r="C179" s="60" t="str">
        <f>IFERROR(INDEX(FPWA_HelperTable[Grant Name], MATCH(B179, FPWA_HelperTable[CFDA], 0)), "")</f>
        <v/>
      </c>
      <c r="D179" s="61" t="str">
        <f>IFERROR(INDEX(FPWA_HelperTable[FY 2018 Total], MATCH(B179, FPWA_HelperTable[CFDA], 0)), "")</f>
        <v/>
      </c>
      <c r="E179" s="62" t="str">
        <f>IFERROR(INDEX(FPWA_HelperTable[President Budget], MATCH(B179, FPWA_HelperTable[CFDA], 0)), "")</f>
        <v/>
      </c>
      <c r="F179" s="61" t="str">
        <f>IFERROR(INDEX(FPWA_HelperTable[President $ Change], MATCH(B179, FPWA_HelperTable[CFDA], 0)), "")</f>
        <v/>
      </c>
    </row>
    <row r="180" spans="2:6" ht="16.5" x14ac:dyDescent="0.3">
      <c r="B180" s="59" t="str">
        <f>IFERROR(INDEX(FPWA_HelperTable[CFDA], MATCH(DesiredOrd_FPWA[Desired Order], FPWA_HelperTable[Final Sort], 0)), "")</f>
        <v/>
      </c>
      <c r="C180" s="60" t="str">
        <f>IFERROR(INDEX(FPWA_HelperTable[Grant Name], MATCH(B180, FPWA_HelperTable[CFDA], 0)), "")</f>
        <v/>
      </c>
      <c r="D180" s="61" t="str">
        <f>IFERROR(INDEX(FPWA_HelperTable[FY 2018 Total], MATCH(B180, FPWA_HelperTable[CFDA], 0)), "")</f>
        <v/>
      </c>
      <c r="E180" s="62" t="str">
        <f>IFERROR(INDEX(FPWA_HelperTable[President Budget], MATCH(B180, FPWA_HelperTable[CFDA], 0)), "")</f>
        <v/>
      </c>
      <c r="F180" s="61" t="str">
        <f>IFERROR(INDEX(FPWA_HelperTable[President $ Change], MATCH(B180, FPWA_HelperTable[CFDA], 0)), "")</f>
        <v/>
      </c>
    </row>
    <row r="181" spans="2:6" ht="16.5" x14ac:dyDescent="0.3">
      <c r="B181" s="59" t="str">
        <f>IFERROR(INDEX(FPWA_HelperTable[CFDA], MATCH(DesiredOrd_FPWA[Desired Order], FPWA_HelperTable[Final Sort], 0)), "")</f>
        <v/>
      </c>
      <c r="C181" s="60" t="str">
        <f>IFERROR(INDEX(FPWA_HelperTable[Grant Name], MATCH(B181, FPWA_HelperTable[CFDA], 0)), "")</f>
        <v/>
      </c>
      <c r="D181" s="61" t="str">
        <f>IFERROR(INDEX(FPWA_HelperTable[FY 2018 Total], MATCH(B181, FPWA_HelperTable[CFDA], 0)), "")</f>
        <v/>
      </c>
      <c r="E181" s="62" t="str">
        <f>IFERROR(INDEX(FPWA_HelperTable[President Budget], MATCH(B181, FPWA_HelperTable[CFDA], 0)), "")</f>
        <v/>
      </c>
      <c r="F181" s="61" t="str">
        <f>IFERROR(INDEX(FPWA_HelperTable[President $ Change], MATCH(B181, FPWA_HelperTable[CFDA], 0)), "")</f>
        <v/>
      </c>
    </row>
    <row r="182" spans="2:6" ht="16.5" x14ac:dyDescent="0.3">
      <c r="B182" s="59" t="str">
        <f>IFERROR(INDEX(FPWA_HelperTable[CFDA], MATCH(DesiredOrd_FPWA[Desired Order], FPWA_HelperTable[Final Sort], 0)), "")</f>
        <v/>
      </c>
      <c r="C182" s="60" t="str">
        <f>IFERROR(INDEX(FPWA_HelperTable[Grant Name], MATCH(B182, FPWA_HelperTable[CFDA], 0)), "")</f>
        <v/>
      </c>
      <c r="D182" s="61" t="str">
        <f>IFERROR(INDEX(FPWA_HelperTable[FY 2018 Total], MATCH(B182, FPWA_HelperTable[CFDA], 0)), "")</f>
        <v/>
      </c>
      <c r="E182" s="62" t="str">
        <f>IFERROR(INDEX(FPWA_HelperTable[President Budget], MATCH(B182, FPWA_HelperTable[CFDA], 0)), "")</f>
        <v/>
      </c>
      <c r="F182" s="61" t="str">
        <f>IFERROR(INDEX(FPWA_HelperTable[President $ Change], MATCH(B182, FPWA_HelperTable[CFDA], 0)), "")</f>
        <v/>
      </c>
    </row>
    <row r="183" spans="2:6" ht="16.5" x14ac:dyDescent="0.3">
      <c r="B183" s="59" t="str">
        <f>IFERROR(INDEX(FPWA_HelperTable[CFDA], MATCH(DesiredOrd_FPWA[Desired Order], FPWA_HelperTable[Final Sort], 0)), "")</f>
        <v/>
      </c>
      <c r="C183" s="60" t="str">
        <f>IFERROR(INDEX(FPWA_HelperTable[Grant Name], MATCH(B183, FPWA_HelperTable[CFDA], 0)), "")</f>
        <v/>
      </c>
      <c r="D183" s="61" t="str">
        <f>IFERROR(INDEX(FPWA_HelperTable[FY 2018 Total], MATCH(B183, FPWA_HelperTable[CFDA], 0)), "")</f>
        <v/>
      </c>
      <c r="E183" s="62" t="str">
        <f>IFERROR(INDEX(FPWA_HelperTable[President Budget], MATCH(B183, FPWA_HelperTable[CFDA], 0)), "")</f>
        <v/>
      </c>
      <c r="F183" s="61" t="str">
        <f>IFERROR(INDEX(FPWA_HelperTable[President $ Change], MATCH(B183, FPWA_HelperTable[CFDA], 0)), "")</f>
        <v/>
      </c>
    </row>
    <row r="184" spans="2:6" ht="16.5" x14ac:dyDescent="0.3">
      <c r="B184" s="59" t="str">
        <f>IFERROR(INDEX(FPWA_HelperTable[CFDA], MATCH(DesiredOrd_FPWA[Desired Order], FPWA_HelperTable[Final Sort], 0)), "")</f>
        <v/>
      </c>
      <c r="C184" s="60" t="str">
        <f>IFERROR(INDEX(FPWA_HelperTable[Grant Name], MATCH(B184, FPWA_HelperTable[CFDA], 0)), "")</f>
        <v/>
      </c>
      <c r="D184" s="61" t="str">
        <f>IFERROR(INDEX(FPWA_HelperTable[FY 2018 Total], MATCH(B184, FPWA_HelperTable[CFDA], 0)), "")</f>
        <v/>
      </c>
      <c r="E184" s="62" t="str">
        <f>IFERROR(INDEX(FPWA_HelperTable[President Budget], MATCH(B184, FPWA_HelperTable[CFDA], 0)), "")</f>
        <v/>
      </c>
      <c r="F184" s="61" t="str">
        <f>IFERROR(INDEX(FPWA_HelperTable[President $ Change], MATCH(B184, FPWA_HelperTable[CFDA], 0)), "")</f>
        <v/>
      </c>
    </row>
    <row r="185" spans="2:6" ht="16.5" x14ac:dyDescent="0.3">
      <c r="B185" s="59" t="str">
        <f>IFERROR(INDEX(FPWA_HelperTable[CFDA], MATCH(DesiredOrd_FPWA[Desired Order], FPWA_HelperTable[Final Sort], 0)), "")</f>
        <v/>
      </c>
      <c r="C185" s="60" t="str">
        <f>IFERROR(INDEX(FPWA_HelperTable[Grant Name], MATCH(B185, FPWA_HelperTable[CFDA], 0)), "")</f>
        <v/>
      </c>
      <c r="D185" s="61" t="str">
        <f>IFERROR(INDEX(FPWA_HelperTable[FY 2018 Total], MATCH(B185, FPWA_HelperTable[CFDA], 0)), "")</f>
        <v/>
      </c>
      <c r="E185" s="62" t="str">
        <f>IFERROR(INDEX(FPWA_HelperTable[President Budget], MATCH(B185, FPWA_HelperTable[CFDA], 0)), "")</f>
        <v/>
      </c>
      <c r="F185" s="61" t="str">
        <f>IFERROR(INDEX(FPWA_HelperTable[President $ Change], MATCH(B185, FPWA_HelperTable[CFDA], 0)), "")</f>
        <v/>
      </c>
    </row>
    <row r="186" spans="2:6" ht="16.5" x14ac:dyDescent="0.3">
      <c r="B186" s="59" t="str">
        <f>IFERROR(INDEX(FPWA_HelperTable[CFDA], MATCH(DesiredOrd_FPWA[Desired Order], FPWA_HelperTable[Final Sort], 0)), "")</f>
        <v/>
      </c>
      <c r="C186" s="60" t="str">
        <f>IFERROR(INDEX(FPWA_HelperTable[Grant Name], MATCH(B186, FPWA_HelperTable[CFDA], 0)), "")</f>
        <v/>
      </c>
      <c r="D186" s="61" t="str">
        <f>IFERROR(INDEX(FPWA_HelperTable[FY 2018 Total], MATCH(B186, FPWA_HelperTable[CFDA], 0)), "")</f>
        <v/>
      </c>
      <c r="E186" s="62" t="str">
        <f>IFERROR(INDEX(FPWA_HelperTable[President Budget], MATCH(B186, FPWA_HelperTable[CFDA], 0)), "")</f>
        <v/>
      </c>
      <c r="F186" s="61" t="str">
        <f>IFERROR(INDEX(FPWA_HelperTable[President $ Change], MATCH(B186, FPWA_HelperTable[CFDA], 0)), "")</f>
        <v/>
      </c>
    </row>
    <row r="187" spans="2:6" ht="16.5" x14ac:dyDescent="0.3">
      <c r="B187" s="59" t="str">
        <f>IFERROR(INDEX(FPWA_HelperTable[CFDA], MATCH(DesiredOrd_FPWA[Desired Order], FPWA_HelperTable[Final Sort], 0)), "")</f>
        <v/>
      </c>
      <c r="C187" s="60" t="str">
        <f>IFERROR(INDEX(FPWA_HelperTable[Grant Name], MATCH(B187, FPWA_HelperTable[CFDA], 0)), "")</f>
        <v/>
      </c>
      <c r="D187" s="61" t="str">
        <f>IFERROR(INDEX(FPWA_HelperTable[FY 2018 Total], MATCH(B187, FPWA_HelperTable[CFDA], 0)), "")</f>
        <v/>
      </c>
      <c r="E187" s="62" t="str">
        <f>IFERROR(INDEX(FPWA_HelperTable[President Budget], MATCH(B187, FPWA_HelperTable[CFDA], 0)), "")</f>
        <v/>
      </c>
      <c r="F187" s="61" t="str">
        <f>IFERROR(INDEX(FPWA_HelperTable[President $ Change], MATCH(B187, FPWA_HelperTable[CFDA], 0)), "")</f>
        <v/>
      </c>
    </row>
    <row r="188" spans="2:6" ht="16.5" x14ac:dyDescent="0.3">
      <c r="B188" s="59" t="str">
        <f>IFERROR(INDEX(FPWA_HelperTable[CFDA], MATCH(DesiredOrd_FPWA[Desired Order], FPWA_HelperTable[Final Sort], 0)), "")</f>
        <v/>
      </c>
      <c r="C188" s="60" t="str">
        <f>IFERROR(INDEX(FPWA_HelperTable[Grant Name], MATCH(B188, FPWA_HelperTable[CFDA], 0)), "")</f>
        <v/>
      </c>
      <c r="D188" s="61" t="str">
        <f>IFERROR(INDEX(FPWA_HelperTable[FY 2018 Total], MATCH(B188, FPWA_HelperTable[CFDA], 0)), "")</f>
        <v/>
      </c>
      <c r="E188" s="62" t="str">
        <f>IFERROR(INDEX(FPWA_HelperTable[President Budget], MATCH(B188, FPWA_HelperTable[CFDA], 0)), "")</f>
        <v/>
      </c>
      <c r="F188" s="61" t="str">
        <f>IFERROR(INDEX(FPWA_HelperTable[President $ Change], MATCH(B188, FPWA_HelperTable[CFDA], 0)), "")</f>
        <v/>
      </c>
    </row>
    <row r="189" spans="2:6" ht="16.5" x14ac:dyDescent="0.3">
      <c r="B189" s="59" t="str">
        <f>IFERROR(INDEX(FPWA_HelperTable[CFDA], MATCH(DesiredOrd_FPWA[Desired Order], FPWA_HelperTable[Final Sort], 0)), "")</f>
        <v/>
      </c>
      <c r="C189" s="60" t="str">
        <f>IFERROR(INDEX(FPWA_HelperTable[Grant Name], MATCH(B189, FPWA_HelperTable[CFDA], 0)), "")</f>
        <v/>
      </c>
      <c r="D189" s="61" t="str">
        <f>IFERROR(INDEX(FPWA_HelperTable[FY 2018 Total], MATCH(B189, FPWA_HelperTable[CFDA], 0)), "")</f>
        <v/>
      </c>
      <c r="E189" s="62" t="str">
        <f>IFERROR(INDEX(FPWA_HelperTable[President Budget], MATCH(B189, FPWA_HelperTable[CFDA], 0)), "")</f>
        <v/>
      </c>
      <c r="F189" s="61" t="str">
        <f>IFERROR(INDEX(FPWA_HelperTable[President $ Change], MATCH(B189, FPWA_HelperTable[CFDA], 0)), "")</f>
        <v/>
      </c>
    </row>
    <row r="190" spans="2:6" ht="16.5" x14ac:dyDescent="0.3">
      <c r="B190" s="59" t="str">
        <f>IFERROR(INDEX(FPWA_HelperTable[CFDA], MATCH(DesiredOrd_FPWA[Desired Order], FPWA_HelperTable[Final Sort], 0)), "")</f>
        <v/>
      </c>
      <c r="C190" s="60" t="str">
        <f>IFERROR(INDEX(FPWA_HelperTable[Grant Name], MATCH(B190, FPWA_HelperTable[CFDA], 0)), "")</f>
        <v/>
      </c>
      <c r="D190" s="61" t="str">
        <f>IFERROR(INDEX(FPWA_HelperTable[FY 2018 Total], MATCH(B190, FPWA_HelperTable[CFDA], 0)), "")</f>
        <v/>
      </c>
      <c r="E190" s="62" t="str">
        <f>IFERROR(INDEX(FPWA_HelperTable[President Budget], MATCH(B190, FPWA_HelperTable[CFDA], 0)), "")</f>
        <v/>
      </c>
      <c r="F190" s="61" t="str">
        <f>IFERROR(INDEX(FPWA_HelperTable[President $ Change], MATCH(B190, FPWA_HelperTable[CFDA], 0)), "")</f>
        <v/>
      </c>
    </row>
    <row r="191" spans="2:6" ht="16.5" x14ac:dyDescent="0.3">
      <c r="B191" s="59" t="str">
        <f>IFERROR(INDEX(FPWA_HelperTable[CFDA], MATCH(DesiredOrd_FPWA[Desired Order], FPWA_HelperTable[Final Sort], 0)), "")</f>
        <v/>
      </c>
      <c r="C191" s="60" t="str">
        <f>IFERROR(INDEX(FPWA_HelperTable[Grant Name], MATCH(B191, FPWA_HelperTable[CFDA], 0)), "")</f>
        <v/>
      </c>
      <c r="D191" s="61" t="str">
        <f>IFERROR(INDEX(FPWA_HelperTable[FY 2018 Total], MATCH(B191, FPWA_HelperTable[CFDA], 0)), "")</f>
        <v/>
      </c>
      <c r="E191" s="62" t="str">
        <f>IFERROR(INDEX(FPWA_HelperTable[President Budget], MATCH(B191, FPWA_HelperTable[CFDA], 0)), "")</f>
        <v/>
      </c>
      <c r="F191" s="61" t="str">
        <f>IFERROR(INDEX(FPWA_HelperTable[President $ Change], MATCH(B191, FPWA_HelperTable[CFDA], 0)), "")</f>
        <v/>
      </c>
    </row>
    <row r="192" spans="2:6" ht="16.5" x14ac:dyDescent="0.3">
      <c r="B192" s="59" t="str">
        <f>IFERROR(INDEX(FPWA_HelperTable[CFDA], MATCH(DesiredOrd_FPWA[Desired Order], FPWA_HelperTable[Final Sort], 0)), "")</f>
        <v/>
      </c>
      <c r="C192" s="60" t="str">
        <f>IFERROR(INDEX(FPWA_HelperTable[Grant Name], MATCH(B192, FPWA_HelperTable[CFDA], 0)), "")</f>
        <v/>
      </c>
      <c r="D192" s="61" t="str">
        <f>IFERROR(INDEX(FPWA_HelperTable[FY 2018 Total], MATCH(B192, FPWA_HelperTable[CFDA], 0)), "")</f>
        <v/>
      </c>
      <c r="E192" s="62" t="str">
        <f>IFERROR(INDEX(FPWA_HelperTable[President Budget], MATCH(B192, FPWA_HelperTable[CFDA], 0)), "")</f>
        <v/>
      </c>
      <c r="F192" s="61" t="str">
        <f>IFERROR(INDEX(FPWA_HelperTable[President $ Change], MATCH(B192, FPWA_HelperTable[CFDA], 0)), "")</f>
        <v/>
      </c>
    </row>
    <row r="193" spans="2:6" ht="16.5" x14ac:dyDescent="0.3">
      <c r="B193" s="59" t="str">
        <f>IFERROR(INDEX(FPWA_HelperTable[CFDA], MATCH(DesiredOrd_FPWA[Desired Order], FPWA_HelperTable[Final Sort], 0)), "")</f>
        <v/>
      </c>
      <c r="C193" s="60" t="str">
        <f>IFERROR(INDEX(FPWA_HelperTable[Grant Name], MATCH(B193, FPWA_HelperTable[CFDA], 0)), "")</f>
        <v/>
      </c>
      <c r="D193" s="61" t="str">
        <f>IFERROR(INDEX(FPWA_HelperTable[FY 2018 Total], MATCH(B193, FPWA_HelperTable[CFDA], 0)), "")</f>
        <v/>
      </c>
      <c r="E193" s="62" t="str">
        <f>IFERROR(INDEX(FPWA_HelperTable[President Budget], MATCH(B193, FPWA_HelperTable[CFDA], 0)), "")</f>
        <v/>
      </c>
      <c r="F193" s="61" t="str">
        <f>IFERROR(INDEX(FPWA_HelperTable[President $ Change], MATCH(B193, FPWA_HelperTable[CFDA], 0)), "")</f>
        <v/>
      </c>
    </row>
    <row r="194" spans="2:6" ht="16.5" x14ac:dyDescent="0.3">
      <c r="B194" s="59" t="str">
        <f>IFERROR(INDEX(FPWA_HelperTable[CFDA], MATCH(DesiredOrd_FPWA[Desired Order], FPWA_HelperTable[Final Sort], 0)), "")</f>
        <v/>
      </c>
      <c r="C194" s="60" t="str">
        <f>IFERROR(INDEX(FPWA_HelperTable[Grant Name], MATCH(B194, FPWA_HelperTable[CFDA], 0)), "")</f>
        <v/>
      </c>
      <c r="D194" s="61" t="str">
        <f>IFERROR(INDEX(FPWA_HelperTable[FY 2018 Total], MATCH(B194, FPWA_HelperTable[CFDA], 0)), "")</f>
        <v/>
      </c>
      <c r="E194" s="62" t="str">
        <f>IFERROR(INDEX(FPWA_HelperTable[President Budget], MATCH(B194, FPWA_HelperTable[CFDA], 0)), "")</f>
        <v/>
      </c>
      <c r="F194" s="61" t="str">
        <f>IFERROR(INDEX(FPWA_HelperTable[President $ Change], MATCH(B194, FPWA_HelperTable[CFDA], 0)), "")</f>
        <v/>
      </c>
    </row>
    <row r="195" spans="2:6" ht="16.5" x14ac:dyDescent="0.3">
      <c r="B195" s="59" t="str">
        <f>IFERROR(INDEX(FPWA_HelperTable[CFDA], MATCH(DesiredOrd_FPWA[Desired Order], FPWA_HelperTable[Final Sort], 0)), "")</f>
        <v/>
      </c>
      <c r="C195" s="60" t="str">
        <f>IFERROR(INDEX(FPWA_HelperTable[Grant Name], MATCH(B195, FPWA_HelperTable[CFDA], 0)), "")</f>
        <v/>
      </c>
      <c r="D195" s="61" t="str">
        <f>IFERROR(INDEX(FPWA_HelperTable[FY 2018 Total], MATCH(B195, FPWA_HelperTable[CFDA], 0)), "")</f>
        <v/>
      </c>
      <c r="E195" s="62" t="str">
        <f>IFERROR(INDEX(FPWA_HelperTable[President Budget], MATCH(B195, FPWA_HelperTable[CFDA], 0)), "")</f>
        <v/>
      </c>
      <c r="F195" s="61" t="str">
        <f>IFERROR(INDEX(FPWA_HelperTable[President $ Change], MATCH(B195, FPWA_HelperTable[CFDA], 0)), "")</f>
        <v/>
      </c>
    </row>
    <row r="196" spans="2:6" ht="16.5" x14ac:dyDescent="0.3">
      <c r="B196" s="59" t="str">
        <f>IFERROR(INDEX(FPWA_HelperTable[CFDA], MATCH(DesiredOrd_FPWA[Desired Order], FPWA_HelperTable[Final Sort], 0)), "")</f>
        <v/>
      </c>
      <c r="C196" s="60" t="str">
        <f>IFERROR(INDEX(FPWA_HelperTable[Grant Name], MATCH(B196, FPWA_HelperTable[CFDA], 0)), "")</f>
        <v/>
      </c>
      <c r="D196" s="61" t="str">
        <f>IFERROR(INDEX(FPWA_HelperTable[FY 2018 Total], MATCH(B196, FPWA_HelperTable[CFDA], 0)), "")</f>
        <v/>
      </c>
      <c r="E196" s="62" t="str">
        <f>IFERROR(INDEX(FPWA_HelperTable[President Budget], MATCH(B196, FPWA_HelperTable[CFDA], 0)), "")</f>
        <v/>
      </c>
      <c r="F196" s="61" t="str">
        <f>IFERROR(INDEX(FPWA_HelperTable[President $ Change], MATCH(B196, FPWA_HelperTable[CFDA], 0)), "")</f>
        <v/>
      </c>
    </row>
    <row r="197" spans="2:6" ht="16.5" x14ac:dyDescent="0.3">
      <c r="B197" s="59" t="str">
        <f>IFERROR(INDEX(FPWA_HelperTable[CFDA], MATCH(DesiredOrd_FPWA[Desired Order], FPWA_HelperTable[Final Sort], 0)), "")</f>
        <v/>
      </c>
      <c r="C197" s="60" t="str">
        <f>IFERROR(INDEX(FPWA_HelperTable[Grant Name], MATCH(B197, FPWA_HelperTable[CFDA], 0)), "")</f>
        <v/>
      </c>
      <c r="D197" s="61" t="str">
        <f>IFERROR(INDEX(FPWA_HelperTable[FY 2018 Total], MATCH(B197, FPWA_HelperTable[CFDA], 0)), "")</f>
        <v/>
      </c>
      <c r="E197" s="62" t="str">
        <f>IFERROR(INDEX(FPWA_HelperTable[President Budget], MATCH(B197, FPWA_HelperTable[CFDA], 0)), "")</f>
        <v/>
      </c>
      <c r="F197" s="61" t="str">
        <f>IFERROR(INDEX(FPWA_HelperTable[President $ Change], MATCH(B197, FPWA_HelperTable[CFDA], 0)), "")</f>
        <v/>
      </c>
    </row>
    <row r="198" spans="2:6" ht="16.5" x14ac:dyDescent="0.3">
      <c r="B198" s="59" t="str">
        <f>IFERROR(INDEX(FPWA_HelperTable[CFDA], MATCH(DesiredOrd_FPWA[Desired Order], FPWA_HelperTable[Final Sort], 0)), "")</f>
        <v/>
      </c>
      <c r="C198" s="60" t="str">
        <f>IFERROR(INDEX(FPWA_HelperTable[Grant Name], MATCH(B198, FPWA_HelperTable[CFDA], 0)), "")</f>
        <v/>
      </c>
      <c r="D198" s="61" t="str">
        <f>IFERROR(INDEX(FPWA_HelperTable[FY 2018 Total], MATCH(B198, FPWA_HelperTable[CFDA], 0)), "")</f>
        <v/>
      </c>
      <c r="E198" s="62" t="str">
        <f>IFERROR(INDEX(FPWA_HelperTable[President Budget], MATCH(B198, FPWA_HelperTable[CFDA], 0)), "")</f>
        <v/>
      </c>
      <c r="F198" s="61" t="str">
        <f>IFERROR(INDEX(FPWA_HelperTable[President $ Change], MATCH(B198, FPWA_HelperTable[CFDA], 0)), "")</f>
        <v/>
      </c>
    </row>
    <row r="199" spans="2:6" ht="16.5" x14ac:dyDescent="0.3">
      <c r="B199" s="59" t="str">
        <f>IFERROR(INDEX(FPWA_HelperTable[CFDA], MATCH(DesiredOrd_FPWA[Desired Order], FPWA_HelperTable[Final Sort], 0)), "")</f>
        <v/>
      </c>
      <c r="C199" s="60" t="str">
        <f>IFERROR(INDEX(FPWA_HelperTable[Grant Name], MATCH(B199, FPWA_HelperTable[CFDA], 0)), "")</f>
        <v/>
      </c>
      <c r="D199" s="61" t="str">
        <f>IFERROR(INDEX(FPWA_HelperTable[FY 2018 Total], MATCH(B199, FPWA_HelperTable[CFDA], 0)), "")</f>
        <v/>
      </c>
      <c r="E199" s="62" t="str">
        <f>IFERROR(INDEX(FPWA_HelperTable[President Budget], MATCH(B199, FPWA_HelperTable[CFDA], 0)), "")</f>
        <v/>
      </c>
      <c r="F199" s="61" t="str">
        <f>IFERROR(INDEX(FPWA_HelperTable[President $ Change], MATCH(B199, FPWA_HelperTable[CFDA], 0)), "")</f>
        <v/>
      </c>
    </row>
    <row r="200" spans="2:6" ht="16.5" x14ac:dyDescent="0.3">
      <c r="B200" s="59" t="str">
        <f>IFERROR(INDEX(FPWA_HelperTable[CFDA], MATCH(DesiredOrd_FPWA[Desired Order], FPWA_HelperTable[Final Sort], 0)), "")</f>
        <v/>
      </c>
      <c r="C200" s="60" t="str">
        <f>IFERROR(INDEX(FPWA_HelperTable[Grant Name], MATCH(B200, FPWA_HelperTable[CFDA], 0)), "")</f>
        <v/>
      </c>
      <c r="D200" s="61" t="str">
        <f>IFERROR(INDEX(FPWA_HelperTable[FY 2018 Total], MATCH(B200, FPWA_HelperTable[CFDA], 0)), "")</f>
        <v/>
      </c>
      <c r="E200" s="62" t="str">
        <f>IFERROR(INDEX(FPWA_HelperTable[President Budget], MATCH(B200, FPWA_HelperTable[CFDA], 0)), "")</f>
        <v/>
      </c>
      <c r="F200" s="61" t="str">
        <f>IFERROR(INDEX(FPWA_HelperTable[President $ Change], MATCH(B200, FPWA_HelperTable[CFDA], 0)), "")</f>
        <v/>
      </c>
    </row>
    <row r="201" spans="2:6" ht="16.5" x14ac:dyDescent="0.3">
      <c r="B201" s="59" t="str">
        <f>IFERROR(INDEX(FPWA_HelperTable[CFDA], MATCH(DesiredOrd_FPWA[Desired Order], FPWA_HelperTable[Final Sort], 0)), "")</f>
        <v/>
      </c>
      <c r="C201" s="60" t="str">
        <f>IFERROR(INDEX(FPWA_HelperTable[Grant Name], MATCH(B201, FPWA_HelperTable[CFDA], 0)), "")</f>
        <v/>
      </c>
      <c r="D201" s="61" t="str">
        <f>IFERROR(INDEX(FPWA_HelperTable[FY 2018 Total], MATCH(B201, FPWA_HelperTable[CFDA], 0)), "")</f>
        <v/>
      </c>
      <c r="E201" s="62" t="str">
        <f>IFERROR(INDEX(FPWA_HelperTable[President Budget], MATCH(B201, FPWA_HelperTable[CFDA], 0)), "")</f>
        <v/>
      </c>
      <c r="F201" s="61" t="str">
        <f>IFERROR(INDEX(FPWA_HelperTable[President $ Change], MATCH(B201, FPWA_HelperTable[CFDA], 0)), "")</f>
        <v/>
      </c>
    </row>
    <row r="202" spans="2:6" ht="16.5" x14ac:dyDescent="0.3">
      <c r="B202" s="59" t="str">
        <f>IFERROR(INDEX(FPWA_HelperTable[CFDA], MATCH(DesiredOrd_FPWA[Desired Order], FPWA_HelperTable[Final Sort], 0)), "")</f>
        <v/>
      </c>
      <c r="C202" s="60" t="str">
        <f>IFERROR(INDEX(FPWA_HelperTable[Grant Name], MATCH(B202, FPWA_HelperTable[CFDA], 0)), "")</f>
        <v/>
      </c>
      <c r="D202" s="61" t="str">
        <f>IFERROR(INDEX(FPWA_HelperTable[FY 2018 Total], MATCH(B202, FPWA_HelperTable[CFDA], 0)), "")</f>
        <v/>
      </c>
      <c r="E202" s="62" t="str">
        <f>IFERROR(INDEX(FPWA_HelperTable[President Budget], MATCH(B202, FPWA_HelperTable[CFDA], 0)), "")</f>
        <v/>
      </c>
      <c r="F202" s="61" t="str">
        <f>IFERROR(INDEX(FPWA_HelperTable[President $ Change], MATCH(B202, FPWA_HelperTable[CFDA], 0)), "")</f>
        <v/>
      </c>
    </row>
    <row r="203" spans="2:6" ht="16.5" x14ac:dyDescent="0.3">
      <c r="B203" s="59" t="str">
        <f>IFERROR(INDEX(FPWA_HelperTable[CFDA], MATCH(DesiredOrd_FPWA[Desired Order], FPWA_HelperTable[Final Sort], 0)), "")</f>
        <v/>
      </c>
      <c r="C203" s="60" t="str">
        <f>IFERROR(INDEX(FPWA_HelperTable[Grant Name], MATCH(B203, FPWA_HelperTable[CFDA], 0)), "")</f>
        <v/>
      </c>
      <c r="D203" s="61" t="str">
        <f>IFERROR(INDEX(FPWA_HelperTable[FY 2018 Total], MATCH(B203, FPWA_HelperTable[CFDA], 0)), "")</f>
        <v/>
      </c>
      <c r="E203" s="62" t="str">
        <f>IFERROR(INDEX(FPWA_HelperTable[President Budget], MATCH(B203, FPWA_HelperTable[CFDA], 0)), "")</f>
        <v/>
      </c>
      <c r="F203" s="61" t="str">
        <f>IFERROR(INDEX(FPWA_HelperTable[President $ Change], MATCH(B203, FPWA_HelperTable[CFDA], 0)), "")</f>
        <v/>
      </c>
    </row>
    <row r="204" spans="2:6" ht="16.5" x14ac:dyDescent="0.3">
      <c r="B204" s="59" t="str">
        <f>IFERROR(INDEX(FPWA_HelperTable[CFDA], MATCH(DesiredOrd_FPWA[Desired Order], FPWA_HelperTable[Final Sort], 0)), "")</f>
        <v/>
      </c>
      <c r="C204" s="60" t="str">
        <f>IFERROR(INDEX(FPWA_HelperTable[Grant Name], MATCH(B204, FPWA_HelperTable[CFDA], 0)), "")</f>
        <v/>
      </c>
      <c r="D204" s="61" t="str">
        <f>IFERROR(INDEX(FPWA_HelperTable[FY 2018 Total], MATCH(B204, FPWA_HelperTable[CFDA], 0)), "")</f>
        <v/>
      </c>
      <c r="E204" s="62" t="str">
        <f>IFERROR(INDEX(FPWA_HelperTable[President Budget], MATCH(B204, FPWA_HelperTable[CFDA], 0)), "")</f>
        <v/>
      </c>
      <c r="F204" s="61" t="str">
        <f>IFERROR(INDEX(FPWA_HelperTable[President $ Change], MATCH(B204, FPWA_HelperTable[CFDA], 0)), "")</f>
        <v/>
      </c>
    </row>
    <row r="205" spans="2:6" ht="16.5" x14ac:dyDescent="0.3">
      <c r="B205" s="59" t="str">
        <f>IFERROR(INDEX(FPWA_HelperTable[CFDA], MATCH(DesiredOrd_FPWA[Desired Order], FPWA_HelperTable[Final Sort], 0)), "")</f>
        <v/>
      </c>
      <c r="C205" s="60" t="str">
        <f>IFERROR(INDEX(FPWA_HelperTable[Grant Name], MATCH(B205, FPWA_HelperTable[CFDA], 0)), "")</f>
        <v/>
      </c>
      <c r="D205" s="61" t="str">
        <f>IFERROR(INDEX(FPWA_HelperTable[FY 2018 Total], MATCH(B205, FPWA_HelperTable[CFDA], 0)), "")</f>
        <v/>
      </c>
      <c r="E205" s="62" t="str">
        <f>IFERROR(INDEX(FPWA_HelperTable[President Budget], MATCH(B205, FPWA_HelperTable[CFDA], 0)), "")</f>
        <v/>
      </c>
      <c r="F205" s="61" t="str">
        <f>IFERROR(INDEX(FPWA_HelperTable[President $ Change], MATCH(B205, FPWA_HelperTable[CFDA], 0)), "")</f>
        <v/>
      </c>
    </row>
    <row r="206" spans="2:6" ht="16.5" x14ac:dyDescent="0.3">
      <c r="B206" s="59" t="str">
        <f>IFERROR(INDEX(FPWA_HelperTable[CFDA], MATCH(DesiredOrd_FPWA[Desired Order], FPWA_HelperTable[Final Sort], 0)), "")</f>
        <v/>
      </c>
      <c r="C206" s="60" t="str">
        <f>IFERROR(INDEX(FPWA_HelperTable[Grant Name], MATCH(B206, FPWA_HelperTable[CFDA], 0)), "")</f>
        <v/>
      </c>
      <c r="D206" s="61" t="str">
        <f>IFERROR(INDEX(FPWA_HelperTable[FY 2018 Total], MATCH(B206, FPWA_HelperTable[CFDA], 0)), "")</f>
        <v/>
      </c>
      <c r="E206" s="62" t="str">
        <f>IFERROR(INDEX(FPWA_HelperTable[President Budget], MATCH(B206, FPWA_HelperTable[CFDA], 0)), "")</f>
        <v/>
      </c>
      <c r="F206" s="61" t="str">
        <f>IFERROR(INDEX(FPWA_HelperTable[President $ Change], MATCH(B206, FPWA_HelperTable[CFDA], 0)), "")</f>
        <v/>
      </c>
    </row>
    <row r="207" spans="2:6" ht="16.5" x14ac:dyDescent="0.3">
      <c r="B207" s="59" t="str">
        <f>IFERROR(INDEX(FPWA_HelperTable[CFDA], MATCH(DesiredOrd_FPWA[Desired Order], FPWA_HelperTable[Final Sort], 0)), "")</f>
        <v/>
      </c>
      <c r="C207" s="60" t="str">
        <f>IFERROR(INDEX(FPWA_HelperTable[Grant Name], MATCH(B207, FPWA_HelperTable[CFDA], 0)), "")</f>
        <v/>
      </c>
      <c r="D207" s="61" t="str">
        <f>IFERROR(INDEX(FPWA_HelperTable[FY 2018 Total], MATCH(B207, FPWA_HelperTable[CFDA], 0)), "")</f>
        <v/>
      </c>
      <c r="E207" s="62" t="str">
        <f>IFERROR(INDEX(FPWA_HelperTable[President Budget], MATCH(B207, FPWA_HelperTable[CFDA], 0)), "")</f>
        <v/>
      </c>
      <c r="F207" s="61" t="str">
        <f>IFERROR(INDEX(FPWA_HelperTable[President $ Change], MATCH(B207, FPWA_HelperTable[CFDA], 0)), "")</f>
        <v/>
      </c>
    </row>
    <row r="208" spans="2:6" ht="16.5" x14ac:dyDescent="0.3">
      <c r="B208" s="59" t="str">
        <f>IFERROR(INDEX(FPWA_HelperTable[CFDA], MATCH(DesiredOrd_FPWA[Desired Order], FPWA_HelperTable[Final Sort], 0)), "")</f>
        <v/>
      </c>
      <c r="C208" s="60" t="str">
        <f>IFERROR(INDEX(FPWA_HelperTable[Grant Name], MATCH(B208, FPWA_HelperTable[CFDA], 0)), "")</f>
        <v/>
      </c>
      <c r="D208" s="61" t="str">
        <f>IFERROR(INDEX(FPWA_HelperTable[FY 2018 Total], MATCH(B208, FPWA_HelperTable[CFDA], 0)), "")</f>
        <v/>
      </c>
      <c r="E208" s="62" t="str">
        <f>IFERROR(INDEX(FPWA_HelperTable[President Budget], MATCH(B208, FPWA_HelperTable[CFDA], 0)), "")</f>
        <v/>
      </c>
      <c r="F208" s="61" t="str">
        <f>IFERROR(INDEX(FPWA_HelperTable[President $ Change], MATCH(B208, FPWA_HelperTable[CFDA], 0)), "")</f>
        <v/>
      </c>
    </row>
    <row r="209" spans="2:6" ht="16.5" x14ac:dyDescent="0.3">
      <c r="B209" s="59" t="str">
        <f>IFERROR(INDEX(FPWA_HelperTable[CFDA], MATCH(DesiredOrd_FPWA[Desired Order], FPWA_HelperTable[Final Sort], 0)), "")</f>
        <v/>
      </c>
      <c r="C209" s="60" t="str">
        <f>IFERROR(INDEX(FPWA_HelperTable[Grant Name], MATCH(B209, FPWA_HelperTable[CFDA], 0)), "")</f>
        <v/>
      </c>
      <c r="D209" s="61" t="str">
        <f>IFERROR(INDEX(FPWA_HelperTable[FY 2018 Total], MATCH(B209, FPWA_HelperTable[CFDA], 0)), "")</f>
        <v/>
      </c>
      <c r="E209" s="62" t="str">
        <f>IFERROR(INDEX(FPWA_HelperTable[President Budget], MATCH(B209, FPWA_HelperTable[CFDA], 0)), "")</f>
        <v/>
      </c>
      <c r="F209" s="61" t="str">
        <f>IFERROR(INDEX(FPWA_HelperTable[President $ Change], MATCH(B209, FPWA_HelperTable[CFDA], 0)), "")</f>
        <v/>
      </c>
    </row>
    <row r="210" spans="2:6" ht="16.5" x14ac:dyDescent="0.3">
      <c r="B210" s="59" t="str">
        <f>IFERROR(INDEX(FPWA_HelperTable[CFDA], MATCH(DesiredOrd_FPWA[Desired Order], FPWA_HelperTable[Final Sort], 0)), "")</f>
        <v/>
      </c>
      <c r="C210" s="60" t="str">
        <f>IFERROR(INDEX(FPWA_HelperTable[Grant Name], MATCH(B210, FPWA_HelperTable[CFDA], 0)), "")</f>
        <v/>
      </c>
      <c r="D210" s="61" t="str">
        <f>IFERROR(INDEX(FPWA_HelperTable[FY 2018 Total], MATCH(B210, FPWA_HelperTable[CFDA], 0)), "")</f>
        <v/>
      </c>
      <c r="E210" s="62" t="str">
        <f>IFERROR(INDEX(FPWA_HelperTable[President Budget], MATCH(B210, FPWA_HelperTable[CFDA], 0)), "")</f>
        <v/>
      </c>
      <c r="F210" s="61" t="str">
        <f>IFERROR(INDEX(FPWA_HelperTable[President $ Change], MATCH(B210, FPWA_HelperTable[CFDA], 0)), "")</f>
        <v/>
      </c>
    </row>
    <row r="211" spans="2:6" ht="16.5" x14ac:dyDescent="0.3">
      <c r="B211" s="59" t="str">
        <f>IFERROR(INDEX(FPWA_HelperTable[CFDA], MATCH(DesiredOrd_FPWA[Desired Order], FPWA_HelperTable[Final Sort], 0)), "")</f>
        <v/>
      </c>
      <c r="C211" s="60" t="str">
        <f>IFERROR(INDEX(FPWA_HelperTable[Grant Name], MATCH(B211, FPWA_HelperTable[CFDA], 0)), "")</f>
        <v/>
      </c>
      <c r="D211" s="61" t="str">
        <f>IFERROR(INDEX(FPWA_HelperTable[FY 2018 Total], MATCH(B211, FPWA_HelperTable[CFDA], 0)), "")</f>
        <v/>
      </c>
      <c r="E211" s="62" t="str">
        <f>IFERROR(INDEX(FPWA_HelperTable[President Budget], MATCH(B211, FPWA_HelperTable[CFDA], 0)), "")</f>
        <v/>
      </c>
      <c r="F211" s="61" t="str">
        <f>IFERROR(INDEX(FPWA_HelperTable[President $ Change], MATCH(B211, FPWA_HelperTable[CFDA], 0)), "")</f>
        <v/>
      </c>
    </row>
    <row r="212" spans="2:6" ht="16.5" x14ac:dyDescent="0.3">
      <c r="B212" s="59" t="str">
        <f>IFERROR(INDEX(FPWA_HelperTable[CFDA], MATCH(DesiredOrd_FPWA[Desired Order], FPWA_HelperTable[Final Sort], 0)), "")</f>
        <v/>
      </c>
      <c r="C212" s="60" t="str">
        <f>IFERROR(INDEX(FPWA_HelperTable[Grant Name], MATCH(B212, FPWA_HelperTable[CFDA], 0)), "")</f>
        <v/>
      </c>
      <c r="D212" s="61" t="str">
        <f>IFERROR(INDEX(FPWA_HelperTable[FY 2018 Total], MATCH(B212, FPWA_HelperTable[CFDA], 0)), "")</f>
        <v/>
      </c>
      <c r="E212" s="62" t="str">
        <f>IFERROR(INDEX(FPWA_HelperTable[President Budget], MATCH(B212, FPWA_HelperTable[CFDA], 0)), "")</f>
        <v/>
      </c>
      <c r="F212" s="61" t="str">
        <f>IFERROR(INDEX(FPWA_HelperTable[President $ Change], MATCH(B212, FPWA_HelperTable[CFDA], 0)), "")</f>
        <v/>
      </c>
    </row>
    <row r="213" spans="2:6" ht="16.5" x14ac:dyDescent="0.3">
      <c r="B213" s="59" t="str">
        <f>IFERROR(INDEX(FPWA_HelperTable[CFDA], MATCH(DesiredOrd_FPWA[Desired Order], FPWA_HelperTable[Final Sort], 0)), "")</f>
        <v/>
      </c>
      <c r="C213" s="60" t="str">
        <f>IFERROR(INDEX(FPWA_HelperTable[Grant Name], MATCH(B213, FPWA_HelperTable[CFDA], 0)), "")</f>
        <v/>
      </c>
      <c r="D213" s="61" t="str">
        <f>IFERROR(INDEX(FPWA_HelperTable[FY 2018 Total], MATCH(B213, FPWA_HelperTable[CFDA], 0)), "")</f>
        <v/>
      </c>
      <c r="E213" s="62" t="str">
        <f>IFERROR(INDEX(FPWA_HelperTable[President Budget], MATCH(B213, FPWA_HelperTable[CFDA], 0)), "")</f>
        <v/>
      </c>
      <c r="F213" s="61" t="str">
        <f>IFERROR(INDEX(FPWA_HelperTable[President $ Change], MATCH(B213, FPWA_HelperTable[CFDA], 0)), "")</f>
        <v/>
      </c>
    </row>
    <row r="214" spans="2:6" ht="16.5" x14ac:dyDescent="0.3">
      <c r="B214" s="59" t="str">
        <f>IFERROR(INDEX(FPWA_HelperTable[CFDA], MATCH(DesiredOrd_FPWA[Desired Order], FPWA_HelperTable[Final Sort], 0)), "")</f>
        <v/>
      </c>
      <c r="C214" s="60" t="str">
        <f>IFERROR(INDEX(FPWA_HelperTable[Grant Name], MATCH(B214, FPWA_HelperTable[CFDA], 0)), "")</f>
        <v/>
      </c>
      <c r="D214" s="61" t="str">
        <f>IFERROR(INDEX(FPWA_HelperTable[FY 2018 Total], MATCH(B214, FPWA_HelperTable[CFDA], 0)), "")</f>
        <v/>
      </c>
      <c r="E214" s="62" t="str">
        <f>IFERROR(INDEX(FPWA_HelperTable[President Budget], MATCH(B214, FPWA_HelperTable[CFDA], 0)), "")</f>
        <v/>
      </c>
      <c r="F214" s="61" t="str">
        <f>IFERROR(INDEX(FPWA_HelperTable[President $ Change], MATCH(B214, FPWA_HelperTable[CFDA], 0)), "")</f>
        <v/>
      </c>
    </row>
    <row r="215" spans="2:6" ht="16.5" x14ac:dyDescent="0.3">
      <c r="B215" s="59" t="str">
        <f>IFERROR(INDEX(FPWA_HelperTable[CFDA], MATCH(DesiredOrd_FPWA[Desired Order], FPWA_HelperTable[Final Sort], 0)), "")</f>
        <v/>
      </c>
      <c r="C215" s="60" t="str">
        <f>IFERROR(INDEX(FPWA_HelperTable[Grant Name], MATCH(B215, FPWA_HelperTable[CFDA], 0)), "")</f>
        <v/>
      </c>
      <c r="D215" s="61" t="str">
        <f>IFERROR(INDEX(FPWA_HelperTable[FY 2018 Total], MATCH(B215, FPWA_HelperTable[CFDA], 0)), "")</f>
        <v/>
      </c>
      <c r="E215" s="62" t="str">
        <f>IFERROR(INDEX(FPWA_HelperTable[President Budget], MATCH(B215, FPWA_HelperTable[CFDA], 0)), "")</f>
        <v/>
      </c>
      <c r="F215" s="61" t="str">
        <f>IFERROR(INDEX(FPWA_HelperTable[President $ Change], MATCH(B215, FPWA_HelperTable[CFDA], 0)), "")</f>
        <v/>
      </c>
    </row>
    <row r="216" spans="2:6" ht="16.5" x14ac:dyDescent="0.3">
      <c r="B216" s="59" t="str">
        <f>IFERROR(INDEX(FPWA_HelperTable[CFDA], MATCH(DesiredOrd_FPWA[Desired Order], FPWA_HelperTable[Final Sort], 0)), "")</f>
        <v/>
      </c>
      <c r="C216" s="60" t="str">
        <f>IFERROR(INDEX(FPWA_HelperTable[Grant Name], MATCH(B216, FPWA_HelperTable[CFDA], 0)), "")</f>
        <v/>
      </c>
      <c r="D216" s="61" t="str">
        <f>IFERROR(INDEX(FPWA_HelperTable[FY 2018 Total], MATCH(B216, FPWA_HelperTable[CFDA], 0)), "")</f>
        <v/>
      </c>
      <c r="E216" s="62" t="str">
        <f>IFERROR(INDEX(FPWA_HelperTable[President Budget], MATCH(B216, FPWA_HelperTable[CFDA], 0)), "")</f>
        <v/>
      </c>
      <c r="F216" s="61" t="str">
        <f>IFERROR(INDEX(FPWA_HelperTable[President $ Change], MATCH(B216, FPWA_HelperTable[CFDA], 0)), "")</f>
        <v/>
      </c>
    </row>
    <row r="217" spans="2:6" ht="16.5" x14ac:dyDescent="0.3">
      <c r="B217" s="59" t="str">
        <f>IFERROR(INDEX(FPWA_HelperTable[CFDA], MATCH(DesiredOrd_FPWA[Desired Order], FPWA_HelperTable[Final Sort], 0)), "")</f>
        <v/>
      </c>
      <c r="C217" s="60" t="str">
        <f>IFERROR(INDEX(FPWA_HelperTable[Grant Name], MATCH(B217, FPWA_HelperTable[CFDA], 0)), "")</f>
        <v/>
      </c>
      <c r="D217" s="61" t="str">
        <f>IFERROR(INDEX(FPWA_HelperTable[FY 2018 Total], MATCH(B217, FPWA_HelperTable[CFDA], 0)), "")</f>
        <v/>
      </c>
      <c r="E217" s="62" t="str">
        <f>IFERROR(INDEX(FPWA_HelperTable[President Budget], MATCH(B217, FPWA_HelperTable[CFDA], 0)), "")</f>
        <v/>
      </c>
      <c r="F217" s="61" t="str">
        <f>IFERROR(INDEX(FPWA_HelperTable[President $ Change], MATCH(B217, FPWA_HelperTable[CFDA], 0)), "")</f>
        <v/>
      </c>
    </row>
    <row r="218" spans="2:6" ht="16.5" x14ac:dyDescent="0.3">
      <c r="B218" s="59" t="str">
        <f>IFERROR(INDEX(FPWA_HelperTable[CFDA], MATCH(DesiredOrd_FPWA[Desired Order], FPWA_HelperTable[Final Sort], 0)), "")</f>
        <v/>
      </c>
      <c r="C218" s="60" t="str">
        <f>IFERROR(INDEX(FPWA_HelperTable[Grant Name], MATCH(B218, FPWA_HelperTable[CFDA], 0)), "")</f>
        <v/>
      </c>
      <c r="D218" s="61" t="str">
        <f>IFERROR(INDEX(FPWA_HelperTable[FY 2018 Total], MATCH(B218, FPWA_HelperTable[CFDA], 0)), "")</f>
        <v/>
      </c>
      <c r="E218" s="62" t="str">
        <f>IFERROR(INDEX(FPWA_HelperTable[President Budget], MATCH(B218, FPWA_HelperTable[CFDA], 0)), "")</f>
        <v/>
      </c>
      <c r="F218" s="61" t="str">
        <f>IFERROR(INDEX(FPWA_HelperTable[President $ Change], MATCH(B218, FPWA_HelperTable[CFDA], 0)), "")</f>
        <v/>
      </c>
    </row>
    <row r="219" spans="2:6" ht="16.5" x14ac:dyDescent="0.3">
      <c r="B219" s="59" t="str">
        <f>IFERROR(INDEX(FPWA_HelperTable[CFDA], MATCH(DesiredOrd_FPWA[Desired Order], FPWA_HelperTable[Final Sort], 0)), "")</f>
        <v/>
      </c>
      <c r="C219" s="60" t="str">
        <f>IFERROR(INDEX(FPWA_HelperTable[Grant Name], MATCH(B219, FPWA_HelperTable[CFDA], 0)), "")</f>
        <v/>
      </c>
      <c r="D219" s="61" t="str">
        <f>IFERROR(INDEX(FPWA_HelperTable[FY 2018 Total], MATCH(B219, FPWA_HelperTable[CFDA], 0)), "")</f>
        <v/>
      </c>
      <c r="E219" s="62" t="str">
        <f>IFERROR(INDEX(FPWA_HelperTable[President Budget], MATCH(B219, FPWA_HelperTable[CFDA], 0)), "")</f>
        <v/>
      </c>
      <c r="F219" s="61" t="str">
        <f>IFERROR(INDEX(FPWA_HelperTable[President $ Change], MATCH(B219, FPWA_HelperTable[CFDA], 0)), "")</f>
        <v/>
      </c>
    </row>
    <row r="220" spans="2:6" ht="16.5" x14ac:dyDescent="0.3">
      <c r="B220" s="59" t="str">
        <f>IFERROR(INDEX(FPWA_HelperTable[CFDA], MATCH(DesiredOrd_FPWA[Desired Order], FPWA_HelperTable[Final Sort], 0)), "")</f>
        <v/>
      </c>
      <c r="C220" s="60" t="str">
        <f>IFERROR(INDEX(FPWA_HelperTable[Grant Name], MATCH(B220, FPWA_HelperTable[CFDA], 0)), "")</f>
        <v/>
      </c>
      <c r="D220" s="61" t="str">
        <f>IFERROR(INDEX(FPWA_HelperTable[FY 2018 Total], MATCH(B220, FPWA_HelperTable[CFDA], 0)), "")</f>
        <v/>
      </c>
      <c r="E220" s="62" t="str">
        <f>IFERROR(INDEX(FPWA_HelperTable[President Budget], MATCH(B220, FPWA_HelperTable[CFDA], 0)), "")</f>
        <v/>
      </c>
      <c r="F220" s="61" t="str">
        <f>IFERROR(INDEX(FPWA_HelperTable[President $ Change], MATCH(B220, FPWA_HelperTable[CFDA], 0)), "")</f>
        <v/>
      </c>
    </row>
    <row r="221" spans="2:6" ht="16.5" x14ac:dyDescent="0.3">
      <c r="B221" s="59" t="str">
        <f>IFERROR(INDEX(FPWA_HelperTable[CFDA], MATCH(DesiredOrd_FPWA[Desired Order], FPWA_HelperTable[Final Sort], 0)), "")</f>
        <v/>
      </c>
      <c r="C221" s="60" t="str">
        <f>IFERROR(INDEX(FPWA_HelperTable[Grant Name], MATCH(B221, FPWA_HelperTable[CFDA], 0)), "")</f>
        <v/>
      </c>
      <c r="D221" s="61" t="str">
        <f>IFERROR(INDEX(FPWA_HelperTable[FY 2018 Total], MATCH(B221, FPWA_HelperTable[CFDA], 0)), "")</f>
        <v/>
      </c>
      <c r="E221" s="62" t="str">
        <f>IFERROR(INDEX(FPWA_HelperTable[President Budget], MATCH(B221, FPWA_HelperTable[CFDA], 0)), "")</f>
        <v/>
      </c>
      <c r="F221" s="61" t="str">
        <f>IFERROR(INDEX(FPWA_HelperTable[President $ Change], MATCH(B221, FPWA_HelperTable[CFDA], 0)), "")</f>
        <v/>
      </c>
    </row>
    <row r="222" spans="2:6" ht="16.5" x14ac:dyDescent="0.3">
      <c r="B222" s="59" t="str">
        <f>IFERROR(INDEX(FPWA_HelperTable[CFDA], MATCH(DesiredOrd_FPWA[Desired Order], FPWA_HelperTable[Final Sort], 0)), "")</f>
        <v/>
      </c>
      <c r="C222" s="60" t="str">
        <f>IFERROR(INDEX(FPWA_HelperTable[Grant Name], MATCH(B222, FPWA_HelperTable[CFDA], 0)), "")</f>
        <v/>
      </c>
      <c r="D222" s="61" t="str">
        <f>IFERROR(INDEX(FPWA_HelperTable[FY 2018 Total], MATCH(B222, FPWA_HelperTable[CFDA], 0)), "")</f>
        <v/>
      </c>
      <c r="E222" s="62" t="str">
        <f>IFERROR(INDEX(FPWA_HelperTable[President Budget], MATCH(B222, FPWA_HelperTable[CFDA], 0)), "")</f>
        <v/>
      </c>
      <c r="F222" s="61" t="str">
        <f>IFERROR(INDEX(FPWA_HelperTable[President $ Change], MATCH(B222, FPWA_HelperTable[CFDA], 0)), "")</f>
        <v/>
      </c>
    </row>
    <row r="223" spans="2:6" ht="16.5" x14ac:dyDescent="0.3">
      <c r="B223" s="59" t="str">
        <f>IFERROR(INDEX(FPWA_HelperTable[CFDA], MATCH(DesiredOrd_FPWA[Desired Order], FPWA_HelperTable[Final Sort], 0)), "")</f>
        <v/>
      </c>
      <c r="C223" s="60" t="str">
        <f>IFERROR(INDEX(FPWA_HelperTable[Grant Name], MATCH(B223, FPWA_HelperTable[CFDA], 0)), "")</f>
        <v/>
      </c>
      <c r="D223" s="61" t="str">
        <f>IFERROR(INDEX(FPWA_HelperTable[FY 2018 Total], MATCH(B223, FPWA_HelperTable[CFDA], 0)), "")</f>
        <v/>
      </c>
      <c r="E223" s="62" t="str">
        <f>IFERROR(INDEX(FPWA_HelperTable[President Budget], MATCH(B223, FPWA_HelperTable[CFDA], 0)), "")</f>
        <v/>
      </c>
      <c r="F223" s="61" t="str">
        <f>IFERROR(INDEX(FPWA_HelperTable[President $ Change], MATCH(B223, FPWA_HelperTable[CFDA], 0)), "")</f>
        <v/>
      </c>
    </row>
    <row r="224" spans="2:6" ht="16.5" x14ac:dyDescent="0.3">
      <c r="B224" s="59" t="str">
        <f>IFERROR(INDEX(FPWA_HelperTable[CFDA], MATCH(DesiredOrd_FPWA[Desired Order], FPWA_HelperTable[Final Sort], 0)), "")</f>
        <v/>
      </c>
      <c r="C224" s="60" t="str">
        <f>IFERROR(INDEX(FPWA_HelperTable[Grant Name], MATCH(B224, FPWA_HelperTable[CFDA], 0)), "")</f>
        <v/>
      </c>
      <c r="D224" s="61" t="str">
        <f>IFERROR(INDEX(FPWA_HelperTable[FY 2018 Total], MATCH(B224, FPWA_HelperTable[CFDA], 0)), "")</f>
        <v/>
      </c>
      <c r="E224" s="62" t="str">
        <f>IFERROR(INDEX(FPWA_HelperTable[President Budget], MATCH(B224, FPWA_HelperTable[CFDA], 0)), "")</f>
        <v/>
      </c>
      <c r="F224" s="61" t="str">
        <f>IFERROR(INDEX(FPWA_HelperTable[President $ Change], MATCH(B224, FPWA_HelperTable[CFDA], 0)), "")</f>
        <v/>
      </c>
    </row>
    <row r="225" spans="2:6" ht="16.5" x14ac:dyDescent="0.3">
      <c r="B225" s="59" t="str">
        <f>IFERROR(INDEX(FPWA_HelperTable[CFDA], MATCH(DesiredOrd_FPWA[Desired Order], FPWA_HelperTable[Final Sort], 0)), "")</f>
        <v/>
      </c>
      <c r="C225" s="60" t="str">
        <f>IFERROR(INDEX(FPWA_HelperTable[Grant Name], MATCH(B225, FPWA_HelperTable[CFDA], 0)), "")</f>
        <v/>
      </c>
      <c r="D225" s="61" t="str">
        <f>IFERROR(INDEX(FPWA_HelperTable[FY 2018 Total], MATCH(B225, FPWA_HelperTable[CFDA], 0)), "")</f>
        <v/>
      </c>
      <c r="E225" s="62" t="str">
        <f>IFERROR(INDEX(FPWA_HelperTable[President Budget], MATCH(B225, FPWA_HelperTable[CFDA], 0)), "")</f>
        <v/>
      </c>
      <c r="F225" s="61" t="str">
        <f>IFERROR(INDEX(FPWA_HelperTable[President $ Change], MATCH(B225, FPWA_HelperTable[CFDA], 0)), "")</f>
        <v/>
      </c>
    </row>
    <row r="226" spans="2:6" ht="16.5" x14ac:dyDescent="0.3">
      <c r="B226" s="59" t="str">
        <f>IFERROR(INDEX(FPWA_HelperTable[CFDA], MATCH(DesiredOrd_FPWA[Desired Order], FPWA_HelperTable[Final Sort], 0)), "")</f>
        <v/>
      </c>
      <c r="C226" s="60" t="str">
        <f>IFERROR(INDEX(FPWA_HelperTable[Grant Name], MATCH(B226, FPWA_HelperTable[CFDA], 0)), "")</f>
        <v/>
      </c>
      <c r="D226" s="61" t="str">
        <f>IFERROR(INDEX(FPWA_HelperTable[FY 2018 Total], MATCH(B226, FPWA_HelperTable[CFDA], 0)), "")</f>
        <v/>
      </c>
      <c r="E226" s="62" t="str">
        <f>IFERROR(INDEX(FPWA_HelperTable[President Budget], MATCH(B226, FPWA_HelperTable[CFDA], 0)), "")</f>
        <v/>
      </c>
      <c r="F226" s="61" t="str">
        <f>IFERROR(INDEX(FPWA_HelperTable[President $ Change], MATCH(B226, FPWA_HelperTable[CFDA], 0)), "")</f>
        <v/>
      </c>
    </row>
    <row r="227" spans="2:6" ht="16.5" x14ac:dyDescent="0.3">
      <c r="B227" s="59" t="str">
        <f>IFERROR(INDEX(FPWA_HelperTable[CFDA], MATCH(DesiredOrd_FPWA[Desired Order], FPWA_HelperTable[Final Sort], 0)), "")</f>
        <v/>
      </c>
      <c r="C227" s="60" t="str">
        <f>IFERROR(INDEX(FPWA_HelperTable[Grant Name], MATCH(B227, FPWA_HelperTable[CFDA], 0)), "")</f>
        <v/>
      </c>
      <c r="D227" s="61" t="str">
        <f>IFERROR(INDEX(FPWA_HelperTable[FY 2018 Total], MATCH(B227, FPWA_HelperTable[CFDA], 0)), "")</f>
        <v/>
      </c>
      <c r="E227" s="62" t="str">
        <f>IFERROR(INDEX(FPWA_HelperTable[President Budget], MATCH(B227, FPWA_HelperTable[CFDA], 0)), "")</f>
        <v/>
      </c>
      <c r="F227" s="61" t="str">
        <f>IFERROR(INDEX(FPWA_HelperTable[President $ Change], MATCH(B227, FPWA_HelperTable[CFDA], 0)), "")</f>
        <v/>
      </c>
    </row>
    <row r="228" spans="2:6" ht="16.5" x14ac:dyDescent="0.3">
      <c r="B228" s="59" t="str">
        <f>IFERROR(INDEX(FPWA_HelperTable[CFDA], MATCH(DesiredOrd_FPWA[Desired Order], FPWA_HelperTable[Final Sort], 0)), "")</f>
        <v/>
      </c>
      <c r="C228" s="60" t="str">
        <f>IFERROR(INDEX(FPWA_HelperTable[Grant Name], MATCH(B228, FPWA_HelperTable[CFDA], 0)), "")</f>
        <v/>
      </c>
      <c r="D228" s="61" t="str">
        <f>IFERROR(INDEX(FPWA_HelperTable[FY 2018 Total], MATCH(B228, FPWA_HelperTable[CFDA], 0)), "")</f>
        <v/>
      </c>
      <c r="E228" s="62" t="str">
        <f>IFERROR(INDEX(FPWA_HelperTable[President Budget], MATCH(B228, FPWA_HelperTable[CFDA], 0)), "")</f>
        <v/>
      </c>
      <c r="F228" s="61" t="str">
        <f>IFERROR(INDEX(FPWA_HelperTable[President $ Change], MATCH(B228, FPWA_HelperTable[CFDA], 0)), "")</f>
        <v/>
      </c>
    </row>
    <row r="229" spans="2:6" ht="16.5" x14ac:dyDescent="0.3">
      <c r="B229" s="59" t="str">
        <f>IFERROR(INDEX(FPWA_HelperTable[CFDA], MATCH(DesiredOrd_FPWA[Desired Order], FPWA_HelperTable[Final Sort], 0)), "")</f>
        <v/>
      </c>
      <c r="C229" s="60" t="str">
        <f>IFERROR(INDEX(FPWA_HelperTable[Grant Name], MATCH(B229, FPWA_HelperTable[CFDA], 0)), "")</f>
        <v/>
      </c>
      <c r="D229" s="61" t="str">
        <f>IFERROR(INDEX(FPWA_HelperTable[FY 2018 Total], MATCH(B229, FPWA_HelperTable[CFDA], 0)), "")</f>
        <v/>
      </c>
      <c r="E229" s="62" t="str">
        <f>IFERROR(INDEX(FPWA_HelperTable[President Budget], MATCH(B229, FPWA_HelperTable[CFDA], 0)), "")</f>
        <v/>
      </c>
      <c r="F229" s="61" t="str">
        <f>IFERROR(INDEX(FPWA_HelperTable[President $ Change], MATCH(B229, FPWA_HelperTable[CFDA], 0)), "")</f>
        <v/>
      </c>
    </row>
    <row r="230" spans="2:6" ht="16.5" x14ac:dyDescent="0.3">
      <c r="B230" s="59" t="str">
        <f>IFERROR(INDEX(FPWA_HelperTable[CFDA], MATCH(DesiredOrd_FPWA[Desired Order], FPWA_HelperTable[Final Sort], 0)), "")</f>
        <v/>
      </c>
      <c r="C230" s="60" t="str">
        <f>IFERROR(INDEX(FPWA_HelperTable[Grant Name], MATCH(B230, FPWA_HelperTable[CFDA], 0)), "")</f>
        <v/>
      </c>
      <c r="D230" s="61" t="str">
        <f>IFERROR(INDEX(FPWA_HelperTable[FY 2018 Total], MATCH(B230, FPWA_HelperTable[CFDA], 0)), "")</f>
        <v/>
      </c>
      <c r="E230" s="62" t="str">
        <f>IFERROR(INDEX(FPWA_HelperTable[President Budget], MATCH(B230, FPWA_HelperTable[CFDA], 0)), "")</f>
        <v/>
      </c>
      <c r="F230" s="61" t="str">
        <f>IFERROR(INDEX(FPWA_HelperTable[President $ Change], MATCH(B230, FPWA_HelperTable[CFDA], 0)), "")</f>
        <v/>
      </c>
    </row>
    <row r="231" spans="2:6" ht="16.5" x14ac:dyDescent="0.3">
      <c r="B231" s="59" t="str">
        <f>IFERROR(INDEX(FPWA_HelperTable[CFDA], MATCH(DesiredOrd_FPWA[Desired Order], FPWA_HelperTable[Final Sort], 0)), "")</f>
        <v/>
      </c>
      <c r="C231" s="60" t="str">
        <f>IFERROR(INDEX(FPWA_HelperTable[Grant Name], MATCH(B231, FPWA_HelperTable[CFDA], 0)), "")</f>
        <v/>
      </c>
      <c r="D231" s="61" t="str">
        <f>IFERROR(INDEX(FPWA_HelperTable[FY 2018 Total], MATCH(B231, FPWA_HelperTable[CFDA], 0)), "")</f>
        <v/>
      </c>
      <c r="E231" s="62" t="str">
        <f>IFERROR(INDEX(FPWA_HelperTable[President Budget], MATCH(B231, FPWA_HelperTable[CFDA], 0)), "")</f>
        <v/>
      </c>
      <c r="F231" s="61" t="str">
        <f>IFERROR(INDEX(FPWA_HelperTable[President $ Change], MATCH(B231, FPWA_HelperTable[CFDA], 0)), "")</f>
        <v/>
      </c>
    </row>
    <row r="232" spans="2:6" ht="16.5" x14ac:dyDescent="0.3">
      <c r="B232" s="59" t="str">
        <f>IFERROR(INDEX(FPWA_HelperTable[CFDA], MATCH(DesiredOrd_FPWA[Desired Order], FPWA_HelperTable[Final Sort], 0)), "")</f>
        <v/>
      </c>
      <c r="C232" s="60" t="str">
        <f>IFERROR(INDEX(FPWA_HelperTable[Grant Name], MATCH(B232, FPWA_HelperTable[CFDA], 0)), "")</f>
        <v/>
      </c>
      <c r="D232" s="61" t="str">
        <f>IFERROR(INDEX(FPWA_HelperTable[FY 2018 Total], MATCH(B232, FPWA_HelperTable[CFDA], 0)), "")</f>
        <v/>
      </c>
      <c r="E232" s="62" t="str">
        <f>IFERROR(INDEX(FPWA_HelperTable[President Budget], MATCH(B232, FPWA_HelperTable[CFDA], 0)), "")</f>
        <v/>
      </c>
      <c r="F232" s="61" t="str">
        <f>IFERROR(INDEX(FPWA_HelperTable[President $ Change], MATCH(B232, FPWA_HelperTable[CFDA], 0)), "")</f>
        <v/>
      </c>
    </row>
    <row r="233" spans="2:6" ht="16.5" x14ac:dyDescent="0.3">
      <c r="B233" s="59" t="str">
        <f>IFERROR(INDEX(FPWA_HelperTable[CFDA], MATCH(DesiredOrd_FPWA[Desired Order], FPWA_HelperTable[Final Sort], 0)), "")</f>
        <v/>
      </c>
      <c r="C233" s="60" t="str">
        <f>IFERROR(INDEX(FPWA_HelperTable[Grant Name], MATCH(B233, FPWA_HelperTable[CFDA], 0)), "")</f>
        <v/>
      </c>
      <c r="D233" s="61" t="str">
        <f>IFERROR(INDEX(FPWA_HelperTable[FY 2018 Total], MATCH(B233, FPWA_HelperTable[CFDA], 0)), "")</f>
        <v/>
      </c>
      <c r="E233" s="62" t="str">
        <f>IFERROR(INDEX(FPWA_HelperTable[President Budget], MATCH(B233, FPWA_HelperTable[CFDA], 0)), "")</f>
        <v/>
      </c>
      <c r="F233" s="61" t="str">
        <f>IFERROR(INDEX(FPWA_HelperTable[President $ Change], MATCH(B233, FPWA_HelperTable[CFDA], 0)), "")</f>
        <v/>
      </c>
    </row>
    <row r="234" spans="2:6" ht="16.5" x14ac:dyDescent="0.3">
      <c r="B234" s="59" t="str">
        <f>IFERROR(INDEX(FPWA_HelperTable[CFDA], MATCH(DesiredOrd_FPWA[Desired Order], FPWA_HelperTable[Final Sort], 0)), "")</f>
        <v/>
      </c>
      <c r="C234" s="60" t="str">
        <f>IFERROR(INDEX(FPWA_HelperTable[Grant Name], MATCH(B234, FPWA_HelperTable[CFDA], 0)), "")</f>
        <v/>
      </c>
      <c r="D234" s="61" t="str">
        <f>IFERROR(INDEX(FPWA_HelperTable[FY 2018 Total], MATCH(B234, FPWA_HelperTable[CFDA], 0)), "")</f>
        <v/>
      </c>
      <c r="E234" s="62" t="str">
        <f>IFERROR(INDEX(FPWA_HelperTable[President Budget], MATCH(B234, FPWA_HelperTable[CFDA], 0)), "")</f>
        <v/>
      </c>
      <c r="F234" s="61" t="str">
        <f>IFERROR(INDEX(FPWA_HelperTable[President $ Change], MATCH(B234, FPWA_HelperTable[CFDA], 0)), "")</f>
        <v/>
      </c>
    </row>
    <row r="235" spans="2:6" ht="16.5" x14ac:dyDescent="0.3">
      <c r="B235" s="59" t="str">
        <f>IFERROR(INDEX(FPWA_HelperTable[CFDA], MATCH(DesiredOrd_FPWA[Desired Order], FPWA_HelperTable[Final Sort], 0)), "")</f>
        <v/>
      </c>
      <c r="C235" s="60" t="str">
        <f>IFERROR(INDEX(FPWA_HelperTable[Grant Name], MATCH(B235, FPWA_HelperTable[CFDA], 0)), "")</f>
        <v/>
      </c>
      <c r="D235" s="61" t="str">
        <f>IFERROR(INDEX(FPWA_HelperTable[FY 2018 Total], MATCH(B235, FPWA_HelperTable[CFDA], 0)), "")</f>
        <v/>
      </c>
      <c r="E235" s="62" t="str">
        <f>IFERROR(INDEX(FPWA_HelperTable[President Budget], MATCH(B235, FPWA_HelperTable[CFDA], 0)), "")</f>
        <v/>
      </c>
      <c r="F235" s="61" t="str">
        <f>IFERROR(INDEX(FPWA_HelperTable[President $ Change], MATCH(B235, FPWA_HelperTable[CFDA], 0)), "")</f>
        <v/>
      </c>
    </row>
    <row r="236" spans="2:6" ht="16.5" x14ac:dyDescent="0.3">
      <c r="B236" s="59" t="str">
        <f>IFERROR(INDEX(FPWA_HelperTable[CFDA], MATCH(DesiredOrd_FPWA[Desired Order], FPWA_HelperTable[Final Sort], 0)), "")</f>
        <v/>
      </c>
      <c r="C236" s="60" t="str">
        <f>IFERROR(INDEX(FPWA_HelperTable[Grant Name], MATCH(B236, FPWA_HelperTable[CFDA], 0)), "")</f>
        <v/>
      </c>
      <c r="D236" s="61" t="str">
        <f>IFERROR(INDEX(FPWA_HelperTable[FY 2018 Total], MATCH(B236, FPWA_HelperTable[CFDA], 0)), "")</f>
        <v/>
      </c>
      <c r="E236" s="62" t="str">
        <f>IFERROR(INDEX(FPWA_HelperTable[President Budget], MATCH(B236, FPWA_HelperTable[CFDA], 0)), "")</f>
        <v/>
      </c>
      <c r="F236" s="61" t="str">
        <f>IFERROR(INDEX(FPWA_HelperTable[President $ Change], MATCH(B236, FPWA_HelperTable[CFDA], 0)), "")</f>
        <v/>
      </c>
    </row>
    <row r="237" spans="2:6" ht="16.5" x14ac:dyDescent="0.3">
      <c r="B237" s="59" t="str">
        <f>IFERROR(INDEX(FPWA_HelperTable[CFDA], MATCH(DesiredOrd_FPWA[Desired Order], FPWA_HelperTable[Final Sort], 0)), "")</f>
        <v/>
      </c>
      <c r="C237" s="60" t="str">
        <f>IFERROR(INDEX(FPWA_HelperTable[Grant Name], MATCH(B237, FPWA_HelperTable[CFDA], 0)), "")</f>
        <v/>
      </c>
      <c r="D237" s="61" t="str">
        <f>IFERROR(INDEX(FPWA_HelperTable[FY 2018 Total], MATCH(B237, FPWA_HelperTable[CFDA], 0)), "")</f>
        <v/>
      </c>
      <c r="E237" s="62" t="str">
        <f>IFERROR(INDEX(FPWA_HelperTable[President Budget], MATCH(B237, FPWA_HelperTable[CFDA], 0)), "")</f>
        <v/>
      </c>
      <c r="F237" s="61" t="str">
        <f>IFERROR(INDEX(FPWA_HelperTable[President $ Change], MATCH(B237, FPWA_HelperTable[CFDA], 0)), "")</f>
        <v/>
      </c>
    </row>
    <row r="238" spans="2:6" ht="16.5" x14ac:dyDescent="0.3">
      <c r="B238" s="59" t="str">
        <f>IFERROR(INDEX(FPWA_HelperTable[CFDA], MATCH(DesiredOrd_FPWA[Desired Order], FPWA_HelperTable[Final Sort], 0)), "")</f>
        <v/>
      </c>
      <c r="C238" s="60" t="str">
        <f>IFERROR(INDEX(FPWA_HelperTable[Grant Name], MATCH(B238, FPWA_HelperTable[CFDA], 0)), "")</f>
        <v/>
      </c>
      <c r="D238" s="61" t="str">
        <f>IFERROR(INDEX(FPWA_HelperTable[FY 2018 Total], MATCH(B238, FPWA_HelperTable[CFDA], 0)), "")</f>
        <v/>
      </c>
      <c r="E238" s="62" t="str">
        <f>IFERROR(INDEX(FPWA_HelperTable[President Budget], MATCH(B238, FPWA_HelperTable[CFDA], 0)), "")</f>
        <v/>
      </c>
      <c r="F238" s="61" t="str">
        <f>IFERROR(INDEX(FPWA_HelperTable[President $ Change], MATCH(B238, FPWA_HelperTable[CFDA], 0)), "")</f>
        <v/>
      </c>
    </row>
    <row r="239" spans="2:6" ht="16.5" x14ac:dyDescent="0.3">
      <c r="B239" s="59" t="str">
        <f>IFERROR(INDEX(FPWA_HelperTable[CFDA], MATCH(DesiredOrd_FPWA[Desired Order], FPWA_HelperTable[Final Sort], 0)), "")</f>
        <v/>
      </c>
      <c r="C239" s="60" t="str">
        <f>IFERROR(INDEX(FPWA_HelperTable[Grant Name], MATCH(B239, FPWA_HelperTable[CFDA], 0)), "")</f>
        <v/>
      </c>
      <c r="D239" s="61" t="str">
        <f>IFERROR(INDEX(FPWA_HelperTable[FY 2018 Total], MATCH(B239, FPWA_HelperTable[CFDA], 0)), "")</f>
        <v/>
      </c>
      <c r="E239" s="62" t="str">
        <f>IFERROR(INDEX(FPWA_HelperTable[President Budget], MATCH(B239, FPWA_HelperTable[CFDA], 0)), "")</f>
        <v/>
      </c>
      <c r="F239" s="61" t="str">
        <f>IFERROR(INDEX(FPWA_HelperTable[President $ Change], MATCH(B239, FPWA_HelperTable[CFDA], 0)), "")</f>
        <v/>
      </c>
    </row>
    <row r="240" spans="2:6" ht="16.5" x14ac:dyDescent="0.3">
      <c r="B240" s="59" t="str">
        <f>IFERROR(INDEX(FPWA_HelperTable[CFDA], MATCH(DesiredOrd_FPWA[Desired Order], FPWA_HelperTable[Final Sort], 0)), "")</f>
        <v/>
      </c>
      <c r="C240" s="60" t="str">
        <f>IFERROR(INDEX(FPWA_HelperTable[Grant Name], MATCH(B240, FPWA_HelperTable[CFDA], 0)), "")</f>
        <v/>
      </c>
      <c r="D240" s="61" t="str">
        <f>IFERROR(INDEX(FPWA_HelperTable[FY 2018 Total], MATCH(B240, FPWA_HelperTable[CFDA], 0)), "")</f>
        <v/>
      </c>
      <c r="E240" s="62" t="str">
        <f>IFERROR(INDEX(FPWA_HelperTable[President Budget], MATCH(B240, FPWA_HelperTable[CFDA], 0)), "")</f>
        <v/>
      </c>
      <c r="F240" s="61" t="str">
        <f>IFERROR(INDEX(FPWA_HelperTable[President $ Change], MATCH(B240, FPWA_HelperTable[CFDA], 0)), "")</f>
        <v/>
      </c>
    </row>
    <row r="241" spans="2:6" ht="16.5" x14ac:dyDescent="0.3">
      <c r="B241" s="59" t="str">
        <f>IFERROR(INDEX(FPWA_HelperTable[CFDA], MATCH(DesiredOrd_FPWA[Desired Order], FPWA_HelperTable[Final Sort], 0)), "")</f>
        <v/>
      </c>
      <c r="C241" s="60" t="str">
        <f>IFERROR(INDEX(FPWA_HelperTable[Grant Name], MATCH(B241, FPWA_HelperTable[CFDA], 0)), "")</f>
        <v/>
      </c>
      <c r="D241" s="61" t="str">
        <f>IFERROR(INDEX(FPWA_HelperTable[FY 2018 Total], MATCH(B241, FPWA_HelperTable[CFDA], 0)), "")</f>
        <v/>
      </c>
      <c r="E241" s="62" t="str">
        <f>IFERROR(INDEX(FPWA_HelperTable[President Budget], MATCH(B241, FPWA_HelperTable[CFDA], 0)), "")</f>
        <v/>
      </c>
      <c r="F241" s="61" t="str">
        <f>IFERROR(INDEX(FPWA_HelperTable[President $ Change], MATCH(B241, FPWA_HelperTable[CFDA], 0)), "")</f>
        <v/>
      </c>
    </row>
    <row r="242" spans="2:6" ht="16.5" x14ac:dyDescent="0.3">
      <c r="B242" s="59" t="str">
        <f>IFERROR(INDEX(FPWA_HelperTable[CFDA], MATCH(DesiredOrd_FPWA[Desired Order], FPWA_HelperTable[Final Sort], 0)), "")</f>
        <v/>
      </c>
      <c r="C242" s="60" t="str">
        <f>IFERROR(INDEX(FPWA_HelperTable[Grant Name], MATCH(B242, FPWA_HelperTable[CFDA], 0)), "")</f>
        <v/>
      </c>
      <c r="D242" s="61" t="str">
        <f>IFERROR(INDEX(FPWA_HelperTable[FY 2018 Total], MATCH(B242, FPWA_HelperTable[CFDA], 0)), "")</f>
        <v/>
      </c>
      <c r="E242" s="62" t="str">
        <f>IFERROR(INDEX(FPWA_HelperTable[President Budget], MATCH(B242, FPWA_HelperTable[CFDA], 0)), "")</f>
        <v/>
      </c>
      <c r="F242" s="61" t="str">
        <f>IFERROR(INDEX(FPWA_HelperTable[President $ Change], MATCH(B242, FPWA_HelperTable[CFDA], 0)), "")</f>
        <v/>
      </c>
    </row>
    <row r="243" spans="2:6" ht="16.5" x14ac:dyDescent="0.3">
      <c r="B243" s="59" t="str">
        <f>IFERROR(INDEX(FPWA_HelperTable[CFDA], MATCH(DesiredOrd_FPWA[Desired Order], FPWA_HelperTable[Final Sort], 0)), "")</f>
        <v/>
      </c>
      <c r="C243" s="60" t="str">
        <f>IFERROR(INDEX(FPWA_HelperTable[Grant Name], MATCH(B243, FPWA_HelperTable[CFDA], 0)), "")</f>
        <v/>
      </c>
      <c r="D243" s="61" t="str">
        <f>IFERROR(INDEX(FPWA_HelperTable[FY 2018 Total], MATCH(B243, FPWA_HelperTable[CFDA], 0)), "")</f>
        <v/>
      </c>
      <c r="E243" s="62" t="str">
        <f>IFERROR(INDEX(FPWA_HelperTable[President Budget], MATCH(B243, FPWA_HelperTable[CFDA], 0)), "")</f>
        <v/>
      </c>
      <c r="F243" s="61" t="str">
        <f>IFERROR(INDEX(FPWA_HelperTable[President $ Change], MATCH(B243, FPWA_HelperTable[CFDA], 0)), "")</f>
        <v/>
      </c>
    </row>
    <row r="244" spans="2:6" ht="16.5" x14ac:dyDescent="0.3">
      <c r="B244" s="59" t="str">
        <f>IFERROR(INDEX(FPWA_HelperTable[CFDA], MATCH(DesiredOrd_FPWA[Desired Order], FPWA_HelperTable[Final Sort], 0)), "")</f>
        <v/>
      </c>
      <c r="C244" s="60" t="str">
        <f>IFERROR(INDEX(FPWA_HelperTable[Grant Name], MATCH(B244, FPWA_HelperTable[CFDA], 0)), "")</f>
        <v/>
      </c>
      <c r="D244" s="61" t="str">
        <f>IFERROR(INDEX(FPWA_HelperTable[FY 2018 Total], MATCH(B244, FPWA_HelperTable[CFDA], 0)), "")</f>
        <v/>
      </c>
      <c r="E244" s="62" t="str">
        <f>IFERROR(INDEX(FPWA_HelperTable[President Budget], MATCH(B244, FPWA_HelperTable[CFDA], 0)), "")</f>
        <v/>
      </c>
      <c r="F244" s="61" t="str">
        <f>IFERROR(INDEX(FPWA_HelperTable[President $ Change], MATCH(B244, FPWA_HelperTable[CFDA], 0)), "")</f>
        <v/>
      </c>
    </row>
    <row r="245" spans="2:6" ht="16.5" x14ac:dyDescent="0.3">
      <c r="B245" s="59" t="str">
        <f>IFERROR(INDEX(FPWA_HelperTable[CFDA], MATCH(DesiredOrd_FPWA[Desired Order], FPWA_HelperTable[Final Sort], 0)), "")</f>
        <v/>
      </c>
      <c r="C245" s="60" t="str">
        <f>IFERROR(INDEX(FPWA_HelperTable[Grant Name], MATCH(B245, FPWA_HelperTable[CFDA], 0)), "")</f>
        <v/>
      </c>
      <c r="D245" s="61" t="str">
        <f>IFERROR(INDEX(FPWA_HelperTable[FY 2018 Total], MATCH(B245, FPWA_HelperTable[CFDA], 0)), "")</f>
        <v/>
      </c>
      <c r="E245" s="62" t="str">
        <f>IFERROR(INDEX(FPWA_HelperTable[President Budget], MATCH(B245, FPWA_HelperTable[CFDA], 0)), "")</f>
        <v/>
      </c>
      <c r="F245" s="61" t="str">
        <f>IFERROR(INDEX(FPWA_HelperTable[President $ Change], MATCH(B245, FPWA_HelperTable[CFDA], 0)), "")</f>
        <v/>
      </c>
    </row>
    <row r="246" spans="2:6" ht="16.5" x14ac:dyDescent="0.3">
      <c r="B246" s="59" t="str">
        <f>IFERROR(INDEX(FPWA_HelperTable[CFDA], MATCH(DesiredOrd_FPWA[Desired Order], FPWA_HelperTable[Final Sort], 0)), "")</f>
        <v/>
      </c>
      <c r="C246" s="60" t="str">
        <f>IFERROR(INDEX(FPWA_HelperTable[Grant Name], MATCH(B246, FPWA_HelperTable[CFDA], 0)), "")</f>
        <v/>
      </c>
      <c r="D246" s="61" t="str">
        <f>IFERROR(INDEX(FPWA_HelperTable[FY 2018 Total], MATCH(B246, FPWA_HelperTable[CFDA], 0)), "")</f>
        <v/>
      </c>
      <c r="E246" s="62" t="str">
        <f>IFERROR(INDEX(FPWA_HelperTable[President Budget], MATCH(B246, FPWA_HelperTable[CFDA], 0)), "")</f>
        <v/>
      </c>
      <c r="F246" s="61" t="str">
        <f>IFERROR(INDEX(FPWA_HelperTable[President $ Change], MATCH(B246, FPWA_HelperTable[CFDA], 0)), "")</f>
        <v/>
      </c>
    </row>
    <row r="247" spans="2:6" ht="16.5" x14ac:dyDescent="0.3">
      <c r="B247" s="59" t="str">
        <f>IFERROR(INDEX(FPWA_HelperTable[CFDA], MATCH(DesiredOrd_FPWA[Desired Order], FPWA_HelperTable[Final Sort], 0)), "")</f>
        <v/>
      </c>
      <c r="C247" s="60" t="str">
        <f>IFERROR(INDEX(FPWA_HelperTable[Grant Name], MATCH(B247, FPWA_HelperTable[CFDA], 0)), "")</f>
        <v/>
      </c>
      <c r="D247" s="61" t="str">
        <f>IFERROR(INDEX(FPWA_HelperTable[FY 2018 Total], MATCH(B247, FPWA_HelperTable[CFDA], 0)), "")</f>
        <v/>
      </c>
      <c r="E247" s="62" t="str">
        <f>IFERROR(INDEX(FPWA_HelperTable[President Budget], MATCH(B247, FPWA_HelperTable[CFDA], 0)), "")</f>
        <v/>
      </c>
      <c r="F247" s="61" t="str">
        <f>IFERROR(INDEX(FPWA_HelperTable[President $ Change], MATCH(B247, FPWA_HelperTable[CFDA], 0)), "")</f>
        <v/>
      </c>
    </row>
    <row r="248" spans="2:6" ht="16.5" x14ac:dyDescent="0.3">
      <c r="B248" s="59" t="str">
        <f>IFERROR(INDEX(FPWA_HelperTable[CFDA], MATCH(DesiredOrd_FPWA[Desired Order], FPWA_HelperTable[Final Sort], 0)), "")</f>
        <v/>
      </c>
      <c r="C248" s="60" t="str">
        <f>IFERROR(INDEX(FPWA_HelperTable[Grant Name], MATCH(B248, FPWA_HelperTable[CFDA], 0)), "")</f>
        <v/>
      </c>
      <c r="D248" s="61" t="str">
        <f>IFERROR(INDEX(FPWA_HelperTable[FY 2018 Total], MATCH(B248, FPWA_HelperTable[CFDA], 0)), "")</f>
        <v/>
      </c>
      <c r="E248" s="62" t="str">
        <f>IFERROR(INDEX(FPWA_HelperTable[President Budget], MATCH(B248, FPWA_HelperTable[CFDA], 0)), "")</f>
        <v/>
      </c>
      <c r="F248" s="61" t="str">
        <f>IFERROR(INDEX(FPWA_HelperTable[President $ Change], MATCH(B248, FPWA_HelperTable[CFDA], 0)), "")</f>
        <v/>
      </c>
    </row>
    <row r="249" spans="2:6" ht="16.5" x14ac:dyDescent="0.3">
      <c r="B249" s="59" t="str">
        <f>IFERROR(INDEX(FPWA_HelperTable[CFDA], MATCH(DesiredOrd_FPWA[Desired Order], FPWA_HelperTable[Final Sort], 0)), "")</f>
        <v/>
      </c>
      <c r="C249" s="60" t="str">
        <f>IFERROR(INDEX(FPWA_HelperTable[Grant Name], MATCH(B249, FPWA_HelperTable[CFDA], 0)), "")</f>
        <v/>
      </c>
      <c r="D249" s="61" t="str">
        <f>IFERROR(INDEX(FPWA_HelperTable[FY 2018 Total], MATCH(B249, FPWA_HelperTable[CFDA], 0)), "")</f>
        <v/>
      </c>
      <c r="E249" s="62" t="str">
        <f>IFERROR(INDEX(FPWA_HelperTable[President Budget], MATCH(B249, FPWA_HelperTable[CFDA], 0)), "")</f>
        <v/>
      </c>
      <c r="F249" s="61" t="str">
        <f>IFERROR(INDEX(FPWA_HelperTable[President $ Change], MATCH(B249, FPWA_HelperTable[CFDA], 0)), "")</f>
        <v/>
      </c>
    </row>
    <row r="250" spans="2:6" ht="16.5" x14ac:dyDescent="0.3">
      <c r="B250" s="59" t="str">
        <f>IFERROR(INDEX(FPWA_HelperTable[CFDA], MATCH(DesiredOrd_FPWA[Desired Order], FPWA_HelperTable[Final Sort], 0)), "")</f>
        <v/>
      </c>
      <c r="C250" s="60" t="str">
        <f>IFERROR(INDEX(FPWA_HelperTable[Grant Name], MATCH(B250, FPWA_HelperTable[CFDA], 0)), "")</f>
        <v/>
      </c>
      <c r="D250" s="61" t="str">
        <f>IFERROR(INDEX(FPWA_HelperTable[FY 2018 Total], MATCH(B250, FPWA_HelperTable[CFDA], 0)), "")</f>
        <v/>
      </c>
      <c r="E250" s="62" t="str">
        <f>IFERROR(INDEX(FPWA_HelperTable[President Budget], MATCH(B250, FPWA_HelperTable[CFDA], 0)), "")</f>
        <v/>
      </c>
      <c r="F250" s="61" t="str">
        <f>IFERROR(INDEX(FPWA_HelperTable[President $ Change], MATCH(B250, FPWA_HelperTable[CFDA], 0)), "")</f>
        <v/>
      </c>
    </row>
    <row r="251" spans="2:6" ht="16.5" x14ac:dyDescent="0.3">
      <c r="B251" s="59" t="str">
        <f>IFERROR(INDEX(FPWA_HelperTable[CFDA], MATCH(DesiredOrd_FPWA[Desired Order], FPWA_HelperTable[Final Sort], 0)), "")</f>
        <v/>
      </c>
      <c r="C251" s="60" t="str">
        <f>IFERROR(INDEX(FPWA_HelperTable[Grant Name], MATCH(B251, FPWA_HelperTable[CFDA], 0)), "")</f>
        <v/>
      </c>
      <c r="D251" s="61" t="str">
        <f>IFERROR(INDEX(FPWA_HelperTable[FY 2018 Total], MATCH(B251, FPWA_HelperTable[CFDA], 0)), "")</f>
        <v/>
      </c>
      <c r="E251" s="62" t="str">
        <f>IFERROR(INDEX(FPWA_HelperTable[President Budget], MATCH(B251, FPWA_HelperTable[CFDA], 0)), "")</f>
        <v/>
      </c>
      <c r="F251" s="61" t="str">
        <f>IFERROR(INDEX(FPWA_HelperTable[President $ Change], MATCH(B251, FPWA_HelperTable[CFDA], 0)), "")</f>
        <v/>
      </c>
    </row>
    <row r="252" spans="2:6" ht="16.5" x14ac:dyDescent="0.3">
      <c r="B252" s="59" t="str">
        <f>IFERROR(INDEX(FPWA_HelperTable[CFDA], MATCH(DesiredOrd_FPWA[Desired Order], FPWA_HelperTable[Final Sort], 0)), "")</f>
        <v/>
      </c>
      <c r="C252" s="60" t="str">
        <f>IFERROR(INDEX(FPWA_HelperTable[Grant Name], MATCH(B252, FPWA_HelperTable[CFDA], 0)), "")</f>
        <v/>
      </c>
      <c r="D252" s="61" t="str">
        <f>IFERROR(INDEX(FPWA_HelperTable[FY 2018 Total], MATCH(B252, FPWA_HelperTable[CFDA], 0)), "")</f>
        <v/>
      </c>
      <c r="E252" s="62" t="str">
        <f>IFERROR(INDEX(FPWA_HelperTable[President Budget], MATCH(B252, FPWA_HelperTable[CFDA], 0)), "")</f>
        <v/>
      </c>
      <c r="F252" s="61" t="str">
        <f>IFERROR(INDEX(FPWA_HelperTable[President $ Change], MATCH(B252, FPWA_HelperTable[CFDA], 0)), "")</f>
        <v/>
      </c>
    </row>
    <row r="253" spans="2:6" ht="16.5" x14ac:dyDescent="0.3">
      <c r="B253" s="59" t="str">
        <f>IFERROR(INDEX(FPWA_HelperTable[CFDA], MATCH(DesiredOrd_FPWA[Desired Order], FPWA_HelperTable[Final Sort], 0)), "")</f>
        <v/>
      </c>
      <c r="C253" s="60" t="str">
        <f>IFERROR(INDEX(FPWA_HelperTable[Grant Name], MATCH(B253, FPWA_HelperTable[CFDA], 0)), "")</f>
        <v/>
      </c>
      <c r="D253" s="61" t="str">
        <f>IFERROR(INDEX(FPWA_HelperTable[FY 2018 Total], MATCH(B253, FPWA_HelperTable[CFDA], 0)), "")</f>
        <v/>
      </c>
      <c r="E253" s="62" t="str">
        <f>IFERROR(INDEX(FPWA_HelperTable[President Budget], MATCH(B253, FPWA_HelperTable[CFDA], 0)), "")</f>
        <v/>
      </c>
      <c r="F253" s="61" t="str">
        <f>IFERROR(INDEX(FPWA_HelperTable[President $ Change], MATCH(B253, FPWA_HelperTable[CFDA], 0)), "")</f>
        <v/>
      </c>
    </row>
    <row r="254" spans="2:6" ht="16.5" x14ac:dyDescent="0.3">
      <c r="B254" s="59" t="str">
        <f>IFERROR(INDEX(FPWA_HelperTable[CFDA], MATCH(DesiredOrd_FPWA[Desired Order], FPWA_HelperTable[Final Sort], 0)), "")</f>
        <v/>
      </c>
      <c r="C254" s="60" t="str">
        <f>IFERROR(INDEX(FPWA_HelperTable[Grant Name], MATCH(B254, FPWA_HelperTable[CFDA], 0)), "")</f>
        <v/>
      </c>
      <c r="D254" s="61" t="str">
        <f>IFERROR(INDEX(FPWA_HelperTable[FY 2018 Total], MATCH(B254, FPWA_HelperTable[CFDA], 0)), "")</f>
        <v/>
      </c>
      <c r="E254" s="62" t="str">
        <f>IFERROR(INDEX(FPWA_HelperTable[President Budget], MATCH(B254, FPWA_HelperTable[CFDA], 0)), "")</f>
        <v/>
      </c>
      <c r="F254" s="61" t="str">
        <f>IFERROR(INDEX(FPWA_HelperTable[President $ Change], MATCH(B254, FPWA_HelperTable[CFDA], 0)), "")</f>
        <v/>
      </c>
    </row>
    <row r="255" spans="2:6" ht="16.5" x14ac:dyDescent="0.3">
      <c r="B255" s="59" t="str">
        <f>IFERROR(INDEX(FPWA_HelperTable[CFDA], MATCH(DesiredOrd_FPWA[Desired Order], FPWA_HelperTable[Final Sort], 0)), "")</f>
        <v/>
      </c>
      <c r="C255" s="60" t="str">
        <f>IFERROR(INDEX(FPWA_HelperTable[Grant Name], MATCH(B255, FPWA_HelperTable[CFDA], 0)), "")</f>
        <v/>
      </c>
      <c r="D255" s="61" t="str">
        <f>IFERROR(INDEX(FPWA_HelperTable[FY 2018 Total], MATCH(B255, FPWA_HelperTable[CFDA], 0)), "")</f>
        <v/>
      </c>
      <c r="E255" s="62" t="str">
        <f>IFERROR(INDEX(FPWA_HelperTable[President Budget], MATCH(B255, FPWA_HelperTable[CFDA], 0)), "")</f>
        <v/>
      </c>
      <c r="F255" s="61" t="str">
        <f>IFERROR(INDEX(FPWA_HelperTable[President $ Change], MATCH(B255, FPWA_HelperTable[CFDA], 0)), "")</f>
        <v/>
      </c>
    </row>
    <row r="256" spans="2:6" ht="16.5" x14ac:dyDescent="0.3">
      <c r="B256" s="59" t="str">
        <f>IFERROR(INDEX(FPWA_HelperTable[CFDA], MATCH(DesiredOrd_FPWA[Desired Order], FPWA_HelperTable[Final Sort], 0)), "")</f>
        <v/>
      </c>
      <c r="C256" s="60" t="str">
        <f>IFERROR(INDEX(FPWA_HelperTable[Grant Name], MATCH(B256, FPWA_HelperTable[CFDA], 0)), "")</f>
        <v/>
      </c>
      <c r="D256" s="61" t="str">
        <f>IFERROR(INDEX(FPWA_HelperTable[FY 2018 Total], MATCH(B256, FPWA_HelperTable[CFDA], 0)), "")</f>
        <v/>
      </c>
      <c r="E256" s="62" t="str">
        <f>IFERROR(INDEX(FPWA_HelperTable[President Budget], MATCH(B256, FPWA_HelperTable[CFDA], 0)), "")</f>
        <v/>
      </c>
      <c r="F256" s="61" t="str">
        <f>IFERROR(INDEX(FPWA_HelperTable[President $ Change], MATCH(B256, FPWA_HelperTable[CFDA], 0)), "")</f>
        <v/>
      </c>
    </row>
    <row r="257" spans="2:6" ht="16.5" x14ac:dyDescent="0.3">
      <c r="B257" s="59" t="str">
        <f>IFERROR(INDEX(FPWA_HelperTable[CFDA], MATCH(DesiredOrd_FPWA[Desired Order], FPWA_HelperTable[Final Sort], 0)), "")</f>
        <v/>
      </c>
      <c r="C257" s="60" t="str">
        <f>IFERROR(INDEX(FPWA_HelperTable[Grant Name], MATCH(B257, FPWA_HelperTable[CFDA], 0)), "")</f>
        <v/>
      </c>
      <c r="D257" s="61" t="str">
        <f>IFERROR(INDEX(FPWA_HelperTable[FY 2018 Total], MATCH(B257, FPWA_HelperTable[CFDA], 0)), "")</f>
        <v/>
      </c>
      <c r="E257" s="62" t="str">
        <f>IFERROR(INDEX(FPWA_HelperTable[President Budget], MATCH(B257, FPWA_HelperTable[CFDA], 0)), "")</f>
        <v/>
      </c>
      <c r="F257" s="61" t="str">
        <f>IFERROR(INDEX(FPWA_HelperTable[President $ Change], MATCH(B257, FPWA_HelperTable[CFDA], 0)), "")</f>
        <v/>
      </c>
    </row>
    <row r="258" spans="2:6" ht="16.5" x14ac:dyDescent="0.3">
      <c r="B258" s="59" t="str">
        <f>IFERROR(INDEX(FPWA_HelperTable[CFDA], MATCH(DesiredOrd_FPWA[Desired Order], FPWA_HelperTable[Final Sort], 0)), "")</f>
        <v/>
      </c>
      <c r="C258" s="60" t="str">
        <f>IFERROR(INDEX(FPWA_HelperTable[Grant Name], MATCH(B258, FPWA_HelperTable[CFDA], 0)), "")</f>
        <v/>
      </c>
      <c r="D258" s="61" t="str">
        <f>IFERROR(INDEX(FPWA_HelperTable[FY 2018 Total], MATCH(B258, FPWA_HelperTable[CFDA], 0)), "")</f>
        <v/>
      </c>
      <c r="E258" s="62" t="str">
        <f>IFERROR(INDEX(FPWA_HelperTable[President Budget], MATCH(B258, FPWA_HelperTable[CFDA], 0)), "")</f>
        <v/>
      </c>
      <c r="F258" s="61" t="str">
        <f>IFERROR(INDEX(FPWA_HelperTable[President $ Change], MATCH(B258, FPWA_HelperTable[CFDA], 0)), "")</f>
        <v/>
      </c>
    </row>
    <row r="259" spans="2:6" ht="16.5" x14ac:dyDescent="0.3">
      <c r="B259" s="59" t="str">
        <f>IFERROR(INDEX(FPWA_HelperTable[CFDA], MATCH(DesiredOrd_FPWA[Desired Order], FPWA_HelperTable[Final Sort], 0)), "")</f>
        <v/>
      </c>
      <c r="C259" s="60" t="str">
        <f>IFERROR(INDEX(FPWA_HelperTable[Grant Name], MATCH(B259, FPWA_HelperTable[CFDA], 0)), "")</f>
        <v/>
      </c>
      <c r="D259" s="61" t="str">
        <f>IFERROR(INDEX(FPWA_HelperTable[FY 2018 Total], MATCH(B259, FPWA_HelperTable[CFDA], 0)), "")</f>
        <v/>
      </c>
      <c r="E259" s="62" t="str">
        <f>IFERROR(INDEX(FPWA_HelperTable[President Budget], MATCH(B259, FPWA_HelperTable[CFDA], 0)), "")</f>
        <v/>
      </c>
      <c r="F259" s="61" t="str">
        <f>IFERROR(INDEX(FPWA_HelperTable[President $ Change], MATCH(B259, FPWA_HelperTable[CFDA], 0)), "")</f>
        <v/>
      </c>
    </row>
    <row r="260" spans="2:6" ht="16.5" x14ac:dyDescent="0.3">
      <c r="B260" s="59" t="str">
        <f>IFERROR(INDEX(FPWA_HelperTable[CFDA], MATCH(DesiredOrd_FPWA[Desired Order], FPWA_HelperTable[Final Sort], 0)), "")</f>
        <v/>
      </c>
      <c r="C260" s="60" t="str">
        <f>IFERROR(INDEX(FPWA_HelperTable[Grant Name], MATCH(B260, FPWA_HelperTable[CFDA], 0)), "")</f>
        <v/>
      </c>
      <c r="D260" s="61" t="str">
        <f>IFERROR(INDEX(FPWA_HelperTable[FY 2018 Total], MATCH(B260, FPWA_HelperTable[CFDA], 0)), "")</f>
        <v/>
      </c>
      <c r="E260" s="62" t="str">
        <f>IFERROR(INDEX(FPWA_HelperTable[President Budget], MATCH(B260, FPWA_HelperTable[CFDA], 0)), "")</f>
        <v/>
      </c>
      <c r="F260" s="61" t="str">
        <f>IFERROR(INDEX(FPWA_HelperTable[President $ Change], MATCH(B260, FPWA_HelperTable[CFDA], 0)), "")</f>
        <v/>
      </c>
    </row>
    <row r="261" spans="2:6" ht="16.5" x14ac:dyDescent="0.3">
      <c r="B261" s="59" t="str">
        <f>IFERROR(INDEX(FPWA_HelperTable[CFDA], MATCH(DesiredOrd_FPWA[Desired Order], FPWA_HelperTable[Final Sort], 0)), "")</f>
        <v/>
      </c>
      <c r="C261" s="60" t="str">
        <f>IFERROR(INDEX(FPWA_HelperTable[Grant Name], MATCH(B261, FPWA_HelperTable[CFDA], 0)), "")</f>
        <v/>
      </c>
      <c r="D261" s="61" t="str">
        <f>IFERROR(INDEX(FPWA_HelperTable[FY 2018 Total], MATCH(B261, FPWA_HelperTable[CFDA], 0)), "")</f>
        <v/>
      </c>
      <c r="E261" s="62" t="str">
        <f>IFERROR(INDEX(FPWA_HelperTable[President Budget], MATCH(B261, FPWA_HelperTable[CFDA], 0)), "")</f>
        <v/>
      </c>
      <c r="F261" s="61" t="str">
        <f>IFERROR(INDEX(FPWA_HelperTable[President $ Change], MATCH(B261, FPWA_HelperTable[CFDA], 0)), "")</f>
        <v/>
      </c>
    </row>
    <row r="262" spans="2:6" ht="16.5" x14ac:dyDescent="0.3">
      <c r="B262" s="59" t="str">
        <f>IFERROR(INDEX(FPWA_HelperTable[CFDA], MATCH(DesiredOrd_FPWA[Desired Order], FPWA_HelperTable[Final Sort], 0)), "")</f>
        <v/>
      </c>
      <c r="C262" s="60" t="str">
        <f>IFERROR(INDEX(FPWA_HelperTable[Grant Name], MATCH(B262, FPWA_HelperTable[CFDA], 0)), "")</f>
        <v/>
      </c>
      <c r="D262" s="61" t="str">
        <f>IFERROR(INDEX(FPWA_HelperTable[FY 2018 Total], MATCH(B262, FPWA_HelperTable[CFDA], 0)), "")</f>
        <v/>
      </c>
      <c r="E262" s="62" t="str">
        <f>IFERROR(INDEX(FPWA_HelperTable[President Budget], MATCH(B262, FPWA_HelperTable[CFDA], 0)), "")</f>
        <v/>
      </c>
      <c r="F262" s="61" t="str">
        <f>IFERROR(INDEX(FPWA_HelperTable[President $ Change], MATCH(B262, FPWA_HelperTable[CFDA], 0)), "")</f>
        <v/>
      </c>
    </row>
  </sheetData>
  <mergeCells count="2">
    <mergeCell ref="B4:F4"/>
    <mergeCell ref="H4:I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linkedCell="SelectMemberOrg" listFillRange="MemberOrgs" r:id="rId5">
            <anchor moveWithCells="1">
              <from>
                <xdr:col>2</xdr:col>
                <xdr:colOff>2066925</xdr:colOff>
                <xdr:row>0</xdr:row>
                <xdr:rowOff>171450</xdr:rowOff>
              </from>
              <to>
                <xdr:col>5</xdr:col>
                <xdr:colOff>371475</xdr:colOff>
                <xdr:row>2</xdr:row>
                <xdr:rowOff>76200</xdr:rowOff>
              </to>
            </anchor>
          </controlPr>
        </control>
      </mc:Choice>
      <mc:Fallback>
        <control shapeId="1033" r:id="rId4" name="ComboBox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A8ADE1-9756-4F5F-B8CE-0B564C2CE2AB}">
            <xm:f>'Helper Table'!$R$5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2" id="{69F907E2-3B6A-4416-AEFE-7C414C9581CC}">
            <xm:f>AND(ISODD(Control!$O9), Control!$M9&lt;&gt;"")</xm:f>
            <x14:dxf>
              <fill>
                <patternFill>
                  <bgColor theme="9" tint="0.79998168889431442"/>
                </patternFill>
              </fill>
              <border>
                <left/>
                <right/>
                <top/>
                <bottom/>
              </border>
            </x14:dxf>
          </x14:cfRule>
          <xm:sqref>B6:F262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BBFB6-0D91-48EA-B10A-ECE0ECE056E2}">
  <sheetPr codeName="Sheet7">
    <tabColor theme="8" tint="0.39997558519241921"/>
  </sheetPr>
  <dimension ref="C2:I5"/>
  <sheetViews>
    <sheetView showGridLines="0" tabSelected="1" zoomScale="80" zoomScaleNormal="80" workbookViewId="0">
      <selection activeCell="K18" sqref="K18:K19"/>
    </sheetView>
  </sheetViews>
  <sheetFormatPr defaultRowHeight="15" x14ac:dyDescent="0.25"/>
  <cols>
    <col min="3" max="3" width="9.42578125" customWidth="1"/>
    <col min="4" max="4" width="43.140625" bestFit="1" customWidth="1"/>
    <col min="5" max="5" width="24.140625" bestFit="1" customWidth="1"/>
    <col min="6" max="6" width="24.140625" customWidth="1"/>
    <col min="7" max="7" width="26.7109375" customWidth="1"/>
    <col min="8" max="8" width="20.140625" customWidth="1"/>
    <col min="9" max="9" width="28.5703125" bestFit="1" customWidth="1"/>
  </cols>
  <sheetData>
    <row r="2" spans="3:9" ht="18.75" x14ac:dyDescent="0.3">
      <c r="C2" s="55" t="s">
        <v>430</v>
      </c>
    </row>
    <row r="4" spans="3:9" ht="18.75" thickBot="1" x14ac:dyDescent="0.3">
      <c r="C4" s="49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</row>
    <row r="5" spans="3:9" ht="16.5" x14ac:dyDescent="0.3">
      <c r="C5" s="50">
        <f>IF(Control!$F9 = "", "", INDEX(FedGrant_Data[CFDA], Control!$F9))</f>
        <v>93.658000000000001</v>
      </c>
      <c r="D5" s="50" t="str">
        <f>IFERROR(INDEX(FedGrant_Data[Grant Name], MATCH(C5, FedGrant_Data[CFDA], 0)), "")</f>
        <v>Foster Care Title IV-E</v>
      </c>
      <c r="E5" s="51">
        <f>IFERROR(INDEX(FedGrant_Data[FY 2018 Actuals],MATCH(C5, FedGrant_Data[CFDA], 0)), "")</f>
        <v>265910784</v>
      </c>
      <c r="F5" s="52">
        <f>IFERROR(INDEX(BudgetApprop_Data[President: % Change from 2019], MATCH(C5, BudgetApprop_Data[CFDA], 0)), "")</f>
        <v>2.9509478209888605E-2</v>
      </c>
      <c r="G5" s="53">
        <f>IFERROR(E5*F5, "No NYC FY 2018 Funding")</f>
        <v>7846888.4862223957</v>
      </c>
      <c r="H5" s="54">
        <f>IFERROR(INDEX(BudgetApprop_Data[House: % Change from 2019], MATCH(C5, BudgetApprop_Data[CFDA], 0)), "")</f>
        <v>2.6578073089700997E-2</v>
      </c>
      <c r="I5" s="53">
        <f>IFERROR(E5*H5, "Not NYC FY 2018 Funding")</f>
        <v>7067396.2524916949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boBoxFedGrant">
          <controlPr defaultSize="0" autoLine="0" linkedCell="SelectFedGrant" listFillRange="FedGrant" r:id="rId4">
            <anchor moveWithCells="1">
              <from>
                <xdr:col>3</xdr:col>
                <xdr:colOff>1047750</xdr:colOff>
                <xdr:row>0</xdr:row>
                <xdr:rowOff>161925</xdr:rowOff>
              </from>
              <to>
                <xdr:col>6</xdr:col>
                <xdr:colOff>295275</xdr:colOff>
                <xdr:row>2</xdr:row>
                <xdr:rowOff>47625</xdr:rowOff>
              </to>
            </anchor>
          </controlPr>
        </control>
      </mc:Choice>
      <mc:Fallback>
        <control shapeId="7170" r:id="rId3" name="ComboBoxFedGran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MemberOrg_Data</vt:lpstr>
      <vt:lpstr>FedGrant_Data</vt:lpstr>
      <vt:lpstr>Budget Appropriations_Data</vt:lpstr>
      <vt:lpstr>Control</vt:lpstr>
      <vt:lpstr>Helper Table</vt:lpstr>
      <vt:lpstr>Helper Table Pivot Table</vt:lpstr>
      <vt:lpstr>FPWA Member Grants</vt:lpstr>
      <vt:lpstr>Individual Grants</vt:lpstr>
      <vt:lpstr>FedGrant</vt:lpstr>
      <vt:lpstr>FPWA_NumRow</vt:lpstr>
      <vt:lpstr>FPWA_TopRow</vt:lpstr>
      <vt:lpstr>HouseAmtChange</vt:lpstr>
      <vt:lpstr>HousePctChange</vt:lpstr>
      <vt:lpstr>MemberOrgs</vt:lpstr>
      <vt:lpstr>NumRow</vt:lpstr>
      <vt:lpstr>PresAmtChange</vt:lpstr>
      <vt:lpstr>PresidentPctChange</vt:lpstr>
      <vt:lpstr>SelectFedGrant</vt:lpstr>
      <vt:lpstr>SelectMemberOrg</vt:lpstr>
      <vt:lpstr>TopRow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Gupta-Casale</dc:creator>
  <cp:lastModifiedBy>Gaurav Gupta-Casale</cp:lastModifiedBy>
  <dcterms:created xsi:type="dcterms:W3CDTF">2019-06-17T14:10:10Z</dcterms:created>
  <dcterms:modified xsi:type="dcterms:W3CDTF">2019-06-20T14:26:48Z</dcterms:modified>
</cp:coreProperties>
</file>